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LU-SU\Documents\GitHub\indicators_public\"/>
    </mc:Choice>
  </mc:AlternateContent>
  <xr:revisionPtr revIDLastSave="0" documentId="13_ncr:1_{52592A7B-644E-4765-8394-C82DA839EB07}" xr6:coauthVersionLast="47" xr6:coauthVersionMax="47" xr10:uidLastSave="{00000000-0000-0000-0000-000000000000}"/>
  <bookViews>
    <workbookView xWindow="-110" yWindow="-110" windowWidth="19420" windowHeight="10300" tabRatio="500" xr2:uid="{00000000-000D-0000-FFFF-FFFF00000000}"/>
  </bookViews>
  <sheets>
    <sheet name="Similar indicators" sheetId="1" r:id="rId1"/>
    <sheet name="Summary" sheetId="2" r:id="rId2"/>
    <sheet name="Method" sheetId="3" r:id="rId3"/>
  </sheets>
  <definedNames>
    <definedName name="_xlnm._FilterDatabase" localSheetId="0" hidden="1">'Similar indicators'!$A$1:$I$346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7" i="2" l="1"/>
  <c r="B6" i="2"/>
  <c r="B5" i="2"/>
  <c r="B4" i="2"/>
  <c r="B3" i="2"/>
  <c r="B2" i="2"/>
</calcChain>
</file>

<file path=xl/sharedStrings.xml><?xml version="1.0" encoding="utf-8"?>
<sst xmlns="http://schemas.openxmlformats.org/spreadsheetml/2006/main" count="2990" uniqueCount="941">
  <si>
    <t>Group</t>
  </si>
  <si>
    <t>Match type</t>
  </si>
  <si>
    <t>Indicator (harmonised)</t>
  </si>
  <si>
    <t>Sources</t>
  </si>
  <si>
    <t>Indicator IDs</t>
  </si>
  <si>
    <t>All sources in group</t>
  </si>
  <si>
    <t>Merging adds sharing</t>
  </si>
  <si>
    <t>Element</t>
  </si>
  <si>
    <t>How they differ</t>
  </si>
  <si>
    <t>G001</t>
  </si>
  <si>
    <t>Same metric, different wording</t>
  </si>
  <si>
    <t>access to electricity</t>
  </si>
  <si>
    <t>IPBES</t>
  </si>
  <si>
    <t>IPBES_GA2.1_sup_15</t>
  </si>
  <si>
    <t>IPBES, SDG</t>
  </si>
  <si>
    <t>Yes</t>
  </si>
  <si>
    <t>Human assets</t>
  </si>
  <si>
    <t>proportion of population with access to electricity</t>
  </si>
  <si>
    <t>SDG</t>
  </si>
  <si>
    <t>SDG_G7.1.1_94</t>
  </si>
  <si>
    <t>G002</t>
  </si>
  <si>
    <t>agricultural land</t>
  </si>
  <si>
    <t>IPBES_GA2.1_sup_30</t>
  </si>
  <si>
    <t>No</t>
  </si>
  <si>
    <t>Direct drivers</t>
  </si>
  <si>
    <t>extent of agricultural land</t>
  </si>
  <si>
    <t>IPBES_GA_2.3_42_143</t>
  </si>
  <si>
    <t>ecosystems</t>
  </si>
  <si>
    <t>G003</t>
  </si>
  <si>
    <t>air pollution exposure</t>
  </si>
  <si>
    <t>GEO</t>
  </si>
  <si>
    <t>GEO_5_19_45</t>
  </si>
  <si>
    <t>GEO, IPBES</t>
  </si>
  <si>
    <t>proportion of population exposed to air pollution</t>
  </si>
  <si>
    <t>IPBES_VA_2_38_28</t>
  </si>
  <si>
    <t>Human well-being</t>
  </si>
  <si>
    <t>G004</t>
  </si>
  <si>
    <t>amoc</t>
  </si>
  <si>
    <t>IPCC</t>
  </si>
  <si>
    <t>IPCC_1_70_30</t>
  </si>
  <si>
    <t>atlantic meridional overturning circulation (amoc)</t>
  </si>
  <si>
    <t>IPCC_2_69_110; IPCC_4_8_220; IPCC_4_18_229</t>
  </si>
  <si>
    <t>G005</t>
  </si>
  <si>
    <t>annual precipitation from daily precipitation &gt; 95th percentile (r95p)</t>
  </si>
  <si>
    <t>IPCC_11_53_541</t>
  </si>
  <si>
    <t>annual total precipitation when the daily precipitation exceeds the 95th percentile of the wet-day (&gt;1 mm) precipitation</t>
  </si>
  <si>
    <t>IPCC_sup_29</t>
  </si>
  <si>
    <t>G006</t>
  </si>
  <si>
    <t>anthropogenic emissions of long-lived greenhouse gases (co2 equivalents)</t>
  </si>
  <si>
    <t>GEO_12_15_115</t>
  </si>
  <si>
    <t>GEO, IPBES, SDG</t>
  </si>
  <si>
    <t>anthropogenic emissions of long-lived greenhouse gases (ghg emissions)</t>
  </si>
  <si>
    <t>GEO_12_18_121</t>
  </si>
  <si>
    <t>ghg emissions</t>
  </si>
  <si>
    <t>IPBES; GEO</t>
  </si>
  <si>
    <t>GEO_5_17_41; GEO_12_18_122; IPBES_GA2.1_sup_41; IPBES_GA2.1_sup_46</t>
  </si>
  <si>
    <t>greenhouse gas emissions</t>
  </si>
  <si>
    <t>IPBES_GA_2_83_42; GEO_4_20_39</t>
  </si>
  <si>
    <t>total greenhouse gas emissions per year</t>
  </si>
  <si>
    <t>SDG; IPBES</t>
  </si>
  <si>
    <t>SDG_G13.2.2_179; IPBES_GA_2_118_47; IPBES_SUA_sup_13.2.2_106</t>
  </si>
  <si>
    <t>G007</t>
  </si>
  <si>
    <t>better life index</t>
  </si>
  <si>
    <t>IPBES_GA_1_52_19</t>
  </si>
  <si>
    <t>oecd better life index</t>
  </si>
  <si>
    <t>IPBES_GA_4_131_209</t>
  </si>
  <si>
    <t>G008</t>
  </si>
  <si>
    <t>biomass of prey fish</t>
  </si>
  <si>
    <t>IPBES_GA_2.2_1_50</t>
  </si>
  <si>
    <t>biodiversity</t>
  </si>
  <si>
    <t>prey fish biomass</t>
  </si>
  <si>
    <t>IPBES_GA_2.2_37_70; IPBES_GA2.2_sup_75</t>
  </si>
  <si>
    <t>G009</t>
  </si>
  <si>
    <t>biotime species richness indicator</t>
  </si>
  <si>
    <t>IPBES_GA_2.2_45_85</t>
  </si>
  <si>
    <t>biotime-local species richness</t>
  </si>
  <si>
    <t>local species richness (biotime)</t>
  </si>
  <si>
    <t>IPBES_GA2.2_sup_40</t>
  </si>
  <si>
    <t>G010</t>
  </si>
  <si>
    <t>caloric intake</t>
  </si>
  <si>
    <t>IPBES_GA_2_22_28; IPBES_GA_2_24_29</t>
  </si>
  <si>
    <t>per capita calorie intake</t>
  </si>
  <si>
    <t>IPBES_GA2.1_sup_8</t>
  </si>
  <si>
    <t>G011</t>
  </si>
  <si>
    <t>carbon uptake by land and ocean</t>
  </si>
  <si>
    <t>IPCC_4_8_220</t>
  </si>
  <si>
    <t>IPBES, IPCC</t>
  </si>
  <si>
    <t>Ecosystem services</t>
  </si>
  <si>
    <t>land and ocean carbon sinks</t>
  </si>
  <si>
    <t>G012</t>
  </si>
  <si>
    <t>changing status of evolutionary distinct and globally endangered species (edge index)</t>
  </si>
  <si>
    <t>GBF</t>
  </si>
  <si>
    <t>GBF_T4_CY_148</t>
  </si>
  <si>
    <t>evolutionarily distinct and globally endangered (edge)</t>
  </si>
  <si>
    <t>GBF_GA_C_7</t>
  </si>
  <si>
    <t>G013</t>
  </si>
  <si>
    <t>climate risk index</t>
  </si>
  <si>
    <t>IPBES_VA_6_64_156</t>
  </si>
  <si>
    <t>global climate risk index</t>
  </si>
  <si>
    <t>G014</t>
  </si>
  <si>
    <t>cms connectivity indicator</t>
  </si>
  <si>
    <t>GBF_GA_CY_49</t>
  </si>
  <si>
    <t>connectivity indicator</t>
  </si>
  <si>
    <t>GBF_T3_C_22</t>
  </si>
  <si>
    <t>G015</t>
  </si>
  <si>
    <t>consecutive dry days (cdd)</t>
  </si>
  <si>
    <t>IPCC_11_58_543; IPCC_11_93_579; IPCC_12_17_601; IPCC_12_57_665</t>
  </si>
  <si>
    <t>maximum number of consecutive days with less than 1 mm of precipitation per day</t>
  </si>
  <si>
    <t>IPCC_sup_27</t>
  </si>
  <si>
    <t>number of consecutive dry days (cdd)</t>
  </si>
  <si>
    <t>IPCC_11_60_550</t>
  </si>
  <si>
    <t>G016</t>
  </si>
  <si>
    <t>conservation status of species listed in the cites appendices has stabilized or improved</t>
  </si>
  <si>
    <t>GBF_T4_C_29</t>
  </si>
  <si>
    <t>CITES, GBF</t>
  </si>
  <si>
    <t>the conservation status of species listed on the cites appendices has stabilized or improved</t>
  </si>
  <si>
    <t>CITES</t>
  </si>
  <si>
    <t>CITES_G1.5.1_5</t>
  </si>
  <si>
    <t>G017</t>
  </si>
  <si>
    <t>cooling degree day index</t>
  </si>
  <si>
    <t>IPCC_12_54_662</t>
  </si>
  <si>
    <t>cooling degree days</t>
  </si>
  <si>
    <t>IPCC_12_46_648; IPCC_sup_42</t>
  </si>
  <si>
    <t>G018</t>
  </si>
  <si>
    <t>coverage by protected areas of important sites for mountain biodiversity</t>
  </si>
  <si>
    <t>IPBES_GA_3_72_395</t>
  </si>
  <si>
    <t>protected area coverage of important sites for mountain biodiversity</t>
  </si>
  <si>
    <t>SDG_G15.4.1_198; IPBES_SUA_sup_15.4.1_125</t>
  </si>
  <si>
    <t>G019</t>
  </si>
  <si>
    <t>dollar value of financial and technical assistance (including through north-south, south-south and triangular cooperation) committed to developing countries</t>
  </si>
  <si>
    <t>GBF_T19_CY_240</t>
  </si>
  <si>
    <t>GBF, IPBES, SDG, UNCCD</t>
  </si>
  <si>
    <t>Governance</t>
  </si>
  <si>
    <t>dollar value of financial and technical assistance (including through north-south, south‑south and triangular cooperation) committed to developing countries</t>
  </si>
  <si>
    <t>SDG_G17.9.1_246; IPBES_SUA_sup_17.9.1_146</t>
  </si>
  <si>
    <t>financial and technical assistance provided in dollars (including through south-south, north-south and triangular cooperation)</t>
  </si>
  <si>
    <t>GBF_GD_CY_96</t>
  </si>
  <si>
    <t>united states dollar value of financial and technical assistance, including through north-south, south-south and triangular cooperation, committed to developing countries and countries with economies in transition</t>
  </si>
  <si>
    <t>UNCCD</t>
  </si>
  <si>
    <t>UNCCD_SO5.7_16</t>
  </si>
  <si>
    <t>G020</t>
  </si>
  <si>
    <t>endemic species richness</t>
  </si>
  <si>
    <t>IPBES_VA_2_10_12</t>
  </si>
  <si>
    <t>total richness of endemic species</t>
  </si>
  <si>
    <t>IPBES_GA_2.2_21_61</t>
  </si>
  <si>
    <t>G021</t>
  </si>
  <si>
    <t>exposure to pm concentrations (population-weighted annual mean concentration of pm2.5)</t>
  </si>
  <si>
    <t>GEO_12_16_117</t>
  </si>
  <si>
    <t>GEO, IPCC</t>
  </si>
  <si>
    <t>population-weighted annual mean concentration of pm2.5</t>
  </si>
  <si>
    <t>population-weighted pm2.5 concentrations</t>
  </si>
  <si>
    <t>IPCC_6_73_321</t>
  </si>
  <si>
    <t>G022</t>
  </si>
  <si>
    <t>extent of forests</t>
  </si>
  <si>
    <t>IPBES_GA_2.2_1_50; IPBES_GA_2.2_37_70; IPBES_GA_2.2_40_78; IPBES_GA_2.3_42_143; IPBES_GA2.2_sup_6</t>
  </si>
  <si>
    <t>trends in forest extent</t>
  </si>
  <si>
    <t>G023</t>
  </si>
  <si>
    <t>extent of suitable habitat</t>
  </si>
  <si>
    <t>IPBES_GA_2.2_37_70; IPBES_GA_2.2_37_70; IPBES_GA_2.3_42_143; IPBES_GA_3_15_329; IPBES_GA2.2_sup_16; IPBES_GA3_sup_17</t>
  </si>
  <si>
    <t>extent of suitable habitat index (esh)</t>
  </si>
  <si>
    <t>IPBES_GA_5_34_243</t>
  </si>
  <si>
    <t>G024</t>
  </si>
  <si>
    <t>farmland bird index</t>
  </si>
  <si>
    <t>IPBES_SUA_4_51_116</t>
  </si>
  <si>
    <t>wild bird index (farmland birds)</t>
  </si>
  <si>
    <t>IPBES_GA_3_15_329; IPBES_GA_3_31_358; IPBES_GA3_sup_26</t>
  </si>
  <si>
    <t>G025</t>
  </si>
  <si>
    <t>fertilizer use</t>
  </si>
  <si>
    <t>GBF; IPBES</t>
  </si>
  <si>
    <t>GBF_T7_C_36; IPBES_GA_2_83_42</t>
  </si>
  <si>
    <t>GBF, IPBES</t>
  </si>
  <si>
    <t>fertilizers used</t>
  </si>
  <si>
    <t>IPBES_GA2.1_sup_43</t>
  </si>
  <si>
    <t>G026</t>
  </si>
  <si>
    <t>freshwater withdrawal as a proportion of available freshwater resources</t>
  </si>
  <si>
    <t>GEO_16_14_181; GEO_20_8_234</t>
  </si>
  <si>
    <t>GBF, GEO, IPBES, SDG</t>
  </si>
  <si>
    <t>level of water stress</t>
  </si>
  <si>
    <t>GBF; GEO</t>
  </si>
  <si>
    <t>GBF_T11_C_53; GEO_16_18_193</t>
  </si>
  <si>
    <t>level of water stress (freshwater withdrawal as a proportion of available freshwater resources)</t>
  </si>
  <si>
    <t>GBF; SDG; IPBES; GEO</t>
  </si>
  <si>
    <t>GBF_GB_CY_66; SDG_G6.4.2_88; GEO_16_18_192; IPBES_SUA_sup_6.4.2_33</t>
  </si>
  <si>
    <t>G027</t>
  </si>
  <si>
    <t>funding for environmental education</t>
  </si>
  <si>
    <t>IPBES_GA_3_15_329</t>
  </si>
  <si>
    <t>funding towards environmental education</t>
  </si>
  <si>
    <t>IPBES_GA3_sup_3</t>
  </si>
  <si>
    <t>G028</t>
  </si>
  <si>
    <t>funding for environmental impact assessments</t>
  </si>
  <si>
    <t>funding towards environmental impact assessment</t>
  </si>
  <si>
    <t>IPBES_GA3_sup_5</t>
  </si>
  <si>
    <t>G029</t>
  </si>
  <si>
    <t>global temperature</t>
  </si>
  <si>
    <t>IPCC_1_58_23</t>
  </si>
  <si>
    <t>global temperatures</t>
  </si>
  <si>
    <t>IPCC_1_92_33</t>
  </si>
  <si>
    <t>G030</t>
  </si>
  <si>
    <t>greenhouse gas index (national oceanic and atmospheric administration)</t>
  </si>
  <si>
    <t>GEO_2_23_6</t>
  </si>
  <si>
    <t>national oceanic and atmospheric administration annual greenhouse gas index (aggi)</t>
  </si>
  <si>
    <t>GEO_5_18_43</t>
  </si>
  <si>
    <t>G031</t>
  </si>
  <si>
    <t>highest five day precipitation amount (rx5day)</t>
  </si>
  <si>
    <t>IPCC_11_52_540</t>
  </si>
  <si>
    <t>maximum five-day precipitation</t>
  </si>
  <si>
    <t>IPCC_sup_22</t>
  </si>
  <si>
    <t>G032</t>
  </si>
  <si>
    <t>highest one day precipitation amount (rx1day)</t>
  </si>
  <si>
    <t>maximum one-day precipitation</t>
  </si>
  <si>
    <t>IPCC_sup_21</t>
  </si>
  <si>
    <t>G033</t>
  </si>
  <si>
    <t>human population density</t>
  </si>
  <si>
    <t>IPBES_IAS_3_8_84</t>
  </si>
  <si>
    <t>Knowledge systems</t>
  </si>
  <si>
    <t>population density</t>
  </si>
  <si>
    <t>IPBES_GA2.1_sup_21</t>
  </si>
  <si>
    <t>G034</t>
  </si>
  <si>
    <t>human population size</t>
  </si>
  <si>
    <t>IPBES_IAS_2_5_11</t>
  </si>
  <si>
    <t>population size</t>
  </si>
  <si>
    <t>IPBES_GA_2.3_40_140; IPBES_SUA_2_97_80</t>
  </si>
  <si>
    <t>G035</t>
  </si>
  <si>
    <t>ice core measurements</t>
  </si>
  <si>
    <t>IPCC_5_14_270</t>
  </si>
  <si>
    <t>ice core records</t>
  </si>
  <si>
    <t>IPCC_2_58_90</t>
  </si>
  <si>
    <t>ice cores</t>
  </si>
  <si>
    <t>IPCC_2_63_105</t>
  </si>
  <si>
    <t>G036</t>
  </si>
  <si>
    <t>income</t>
  </si>
  <si>
    <t>IPBES_GA_2_25_31; IPBES_SUA_4_149_137</t>
  </si>
  <si>
    <t>measure of income</t>
  </si>
  <si>
    <t>GEO_22_21_257</t>
  </si>
  <si>
    <t>G037</t>
  </si>
  <si>
    <t>index of sustainable economic welfare (isew)</t>
  </si>
  <si>
    <t>IPBES_GA_6_139_289; IPBES_VA_2_38_29; IPBES_VA_2_39_33; IPBES_IAS_6_85_153</t>
  </si>
  <si>
    <t>sustainable economic welfare (isew)</t>
  </si>
  <si>
    <t>IPBES_VA_5_78_136</t>
  </si>
  <si>
    <t>G038</t>
  </si>
  <si>
    <t>indian ocean dipole (ipo)</t>
  </si>
  <si>
    <t>IPCC_3_80_205</t>
  </si>
  <si>
    <t>indian ocean dipole index (iod)</t>
  </si>
  <si>
    <t>IPCC_3_78_202</t>
  </si>
  <si>
    <t>G039</t>
  </si>
  <si>
    <t>indicator on monetary benefits received</t>
  </si>
  <si>
    <t>GBF_T13_H_35</t>
  </si>
  <si>
    <t>monetary benefits received in accordance with applicable internationally agreed access and benefit-sharing instruments</t>
  </si>
  <si>
    <t>GBF_GC_H_7</t>
  </si>
  <si>
    <t>G040</t>
  </si>
  <si>
    <t>marine net primary production</t>
  </si>
  <si>
    <t>IPBES_GA_2.2_37_70; IPBES_GA2.2_sup_31</t>
  </si>
  <si>
    <t>primary production of marine biota</t>
  </si>
  <si>
    <t>IPCC_2_26_47</t>
  </si>
  <si>
    <t>G041</t>
  </si>
  <si>
    <t>merchandise exports</t>
  </si>
  <si>
    <t>IPBES_GA_2_24_29</t>
  </si>
  <si>
    <t>value of merchandise being exported</t>
  </si>
  <si>
    <t>IPBES_GA_2_22_28</t>
  </si>
  <si>
    <t>G042</t>
  </si>
  <si>
    <t>mortality from unintentional poisoning</t>
  </si>
  <si>
    <t>GEO_20_7_232</t>
  </si>
  <si>
    <t>GEO, SDG</t>
  </si>
  <si>
    <t>mortality rate attributed to unintentional poisoning</t>
  </si>
  <si>
    <t>SDG_G3.9.3_48</t>
  </si>
  <si>
    <t>G043</t>
  </si>
  <si>
    <t>mortality rate attributable to household and ambient air pollution</t>
  </si>
  <si>
    <t>GBF, GEO, SDG</t>
  </si>
  <si>
    <t>mortality rate attributed to household and ambient air pollution</t>
  </si>
  <si>
    <t>GBF; SDG</t>
  </si>
  <si>
    <t>GBF_T11_CY_202; SDG_G3.9.1_46</t>
  </si>
  <si>
    <t>G044</t>
  </si>
  <si>
    <t>national recycling rate, tons of material recycled</t>
  </si>
  <si>
    <t>SDG_G12.5.1_168; IPBES_SUA_sup_12.5.1_95</t>
  </si>
  <si>
    <t>GBF, IPBES, SDG</t>
  </si>
  <si>
    <t>recycling rate</t>
  </si>
  <si>
    <t>GBF_T16_CY_217</t>
  </si>
  <si>
    <t>G045</t>
  </si>
  <si>
    <t>nitrogenen deposition trends</t>
  </si>
  <si>
    <t>IPBES_GA2.1_sup_45</t>
  </si>
  <si>
    <t>trends in nitrogen deposition</t>
  </si>
  <si>
    <t>GBF_T7_CY_171; IPBES_GA_1_52_19</t>
  </si>
  <si>
    <t>G046</t>
  </si>
  <si>
    <t>normalized difference vegetation index (ndvi)</t>
  </si>
  <si>
    <t>IPCC; GEO</t>
  </si>
  <si>
    <t>IPCC_2_78_126; GEO_3_7_18</t>
  </si>
  <si>
    <t>time series of normalized difference vegetation index (ndvi)</t>
  </si>
  <si>
    <t>IPCC_1_67_28</t>
  </si>
  <si>
    <t>G047</t>
  </si>
  <si>
    <t>number of cites parties that have adopted standard procedures for non-detrimental findings</t>
  </si>
  <si>
    <t>IPBES_SUA_4_65_122</t>
  </si>
  <si>
    <t>CITES, IPBES</t>
  </si>
  <si>
    <t>number of parties that have adopted standard procedures for making non-detriment findings (ndfs)</t>
  </si>
  <si>
    <t>CITES_G2.1.1_7</t>
  </si>
  <si>
    <t>G048</t>
  </si>
  <si>
    <t>number of countries with biodiversity relevant tradable permit schemes</t>
  </si>
  <si>
    <t>GBF_T18_CY_233</t>
  </si>
  <si>
    <t>number of countries with national instruments on biodiversity relevant tradable permit schemes</t>
  </si>
  <si>
    <t>G049</t>
  </si>
  <si>
    <t>number of people who died or disappeared in the process of migration towards an international destination</t>
  </si>
  <si>
    <t>SDG_G10.7.3_138</t>
  </si>
  <si>
    <t>number of people who died or disappeared in the process of migration towards an international destinationi</t>
  </si>
  <si>
    <t>IPBES_SUA_sup_10.7.3_76</t>
  </si>
  <si>
    <t>G050</t>
  </si>
  <si>
    <t>number of protected areas that have completed a site-level assessment of governance and equity (sage)</t>
  </si>
  <si>
    <t>GBF_T22_CY_260; GBF_T23_CY_268</t>
  </si>
  <si>
    <t>the number of protected areas that have completed a site-level assessment of governance and equity (sage)</t>
  </si>
  <si>
    <t>GBF_T3_C_23</t>
  </si>
  <si>
    <t>G051</t>
  </si>
  <si>
    <t>number of transboundary ramsar sites that have been designated</t>
  </si>
  <si>
    <t>RAMSAR</t>
  </si>
  <si>
    <t>RAMSAR_SG2.6_23</t>
  </si>
  <si>
    <t>total number of transboundary ramsar sites</t>
  </si>
  <si>
    <t>RAMSAR_OG4.18_69</t>
  </si>
  <si>
    <t>G052</t>
  </si>
  <si>
    <t>ocean heat content</t>
  </si>
  <si>
    <t>IPCC_1_13_4; IPCC_1_70_30; IPCC_2_26_47; IPCC_2_63_104; IPCC_3_51_187</t>
  </si>
  <si>
    <t>ocean heat content ohc</t>
  </si>
  <si>
    <t>IPCC_9_37_432</t>
  </si>
  <si>
    <t>G053</t>
  </si>
  <si>
    <t>passenger and freight volumes by mode of transport</t>
  </si>
  <si>
    <t>IPBES_GA_3_128_421</t>
  </si>
  <si>
    <t>passenger and freight volumes, by mode of transport</t>
  </si>
  <si>
    <t>SDG_G9.1.2_118; IPBES_SUA_sup_9.1.2_60</t>
  </si>
  <si>
    <t>G054</t>
  </si>
  <si>
    <t>percentage of cities with direct participation structure of civil society in urban planning and management, which operate regularly and democratically</t>
  </si>
  <si>
    <t>GEO_15_21_173</t>
  </si>
  <si>
    <t>proportion of cities with a direct participation structure of civil society in urban planning and management that operate regularly and democratically</t>
  </si>
  <si>
    <t>SDG_G11.3.2_146</t>
  </si>
  <si>
    <t>G055</t>
  </si>
  <si>
    <t>percentage of population using safely managed drinking water services</t>
  </si>
  <si>
    <t>proportion of population using safely managed drinking water services</t>
  </si>
  <si>
    <t>GBF_T11_CY_201; SDG_G6.1.1_83; GEO_16_14_181; GEO_16_16_185; IPBES_SUA_sup_6.1.1_30</t>
  </si>
  <si>
    <t>G056</t>
  </si>
  <si>
    <t>percentage of population who believe decision making is inclusive and responsive, by sex, age, disability and population group</t>
  </si>
  <si>
    <t>GBF_T23_CY_269</t>
  </si>
  <si>
    <t>GBF, SDG</t>
  </si>
  <si>
    <t>proportion of population who believe decision-making is inclusive and responsive, by sex, age, disability and population group</t>
  </si>
  <si>
    <t>GBF_T22_CY_263; SDG_G16.7.2_229</t>
  </si>
  <si>
    <t>G057</t>
  </si>
  <si>
    <t>percentage of positions in national and local institutions, including (a) the legislatures; (b) the public service; and (c) the judiciary, compared to national distributions, by sex, age, persons with disabilities and population groups</t>
  </si>
  <si>
    <t>GBF_T22_CY_255; GBF_T23_CY_264</t>
  </si>
  <si>
    <t>proportions of positions in national and local institutions, including (a) the legislatures; (b) the public service; and (c) the judiciary, compared to national distributions, by sex, age, persons with disabilities and population groups</t>
  </si>
  <si>
    <t>SDG_G16.7.1_228</t>
  </si>
  <si>
    <t>G058</t>
  </si>
  <si>
    <t>pm 2.5 emissions</t>
  </si>
  <si>
    <t>GEO_20_6_228</t>
  </si>
  <si>
    <t>pm2.5 emissions</t>
  </si>
  <si>
    <t>GEO_12_16_119</t>
  </si>
  <si>
    <t>G059</t>
  </si>
  <si>
    <t>proportion of terrestrial, freshwater and marine ecological regions which are conserved by protected areas or other effective area-based conservation measures</t>
  </si>
  <si>
    <t>GBF_T3_CY_146; GBF_T5_CY_163</t>
  </si>
  <si>
    <t>protected area coverage of terrestrial, marine and freshwater ecoregions</t>
  </si>
  <si>
    <t>G060</t>
  </si>
  <si>
    <t>ratio of land consumption rate to population growth rate</t>
  </si>
  <si>
    <t>SDG; IPBES; GEO</t>
  </si>
  <si>
    <t>SDG_G11.3.1_145; GEO_15_17_161; GEO_15_20_171; IPBES_SUA_sup_11.3.1_79</t>
  </si>
  <si>
    <t>ratio of land consumption rate to urban population growth rate at comparable scale</t>
  </si>
  <si>
    <t>G061</t>
  </si>
  <si>
    <t>simple daily intensity index (sdii)</t>
  </si>
  <si>
    <t>IPCC_11_50_537</t>
  </si>
  <si>
    <t>simple precipitation intensity index</t>
  </si>
  <si>
    <t>IPCC_sup_31</t>
  </si>
  <si>
    <t>G062</t>
  </si>
  <si>
    <t>soil organic carbon</t>
  </si>
  <si>
    <t>IPBES_GA_2.2_37_70; IPBES_GA_2.3_39_137; IPBES_GA2.2_sup_23; IPBES_GA2.2_sup_24</t>
  </si>
  <si>
    <t>GBF, GEO, IPBES</t>
  </si>
  <si>
    <t>soil organic carbon (soc) stocks</t>
  </si>
  <si>
    <t>GBF_T10_CY_194; GEO_20_8_234</t>
  </si>
  <si>
    <t>G063</t>
  </si>
  <si>
    <t>speleothem records</t>
  </si>
  <si>
    <t>IPCC_2_62_100</t>
  </si>
  <si>
    <t>speleotherm records</t>
  </si>
  <si>
    <t>IPCC_9_71_451</t>
  </si>
  <si>
    <t>G064</t>
  </si>
  <si>
    <t>trends in attention to migratory species in national biodiversity strategies and action plans</t>
  </si>
  <si>
    <t>CMS</t>
  </si>
  <si>
    <t>CMS_G5.13_22</t>
  </si>
  <si>
    <t>trends in integration of migratory species concerns in national biodiversity strategies and action plans</t>
  </si>
  <si>
    <t>CMS_G5.13_23</t>
  </si>
  <si>
    <t>G065</t>
  </si>
  <si>
    <t>trends in potentially environmentally harmful elements of government support to agriculture (producer support estimate)</t>
  </si>
  <si>
    <t>GBF_T18_CY_234</t>
  </si>
  <si>
    <t>trends in potentially harmful elements of government support to agriculture (produced support estimates)</t>
  </si>
  <si>
    <t>G066</t>
  </si>
  <si>
    <t>Near-equivalent</t>
  </si>
  <si>
    <t>abundance of food species</t>
  </si>
  <si>
    <t>IPBES_SUA_2_96_79</t>
  </si>
  <si>
    <t>Food species vs food and medicine species; abundance vs quality and abundance</t>
  </si>
  <si>
    <t>quality and abundance of food and medicine species</t>
  </si>
  <si>
    <t>IPBES_SUA_2_95_77; IPBES_SUA_2_96_79</t>
  </si>
  <si>
    <t>G067</t>
  </si>
  <si>
    <t>access to improved sanitation facilities</t>
  </si>
  <si>
    <t>IPBES_GA_2_109_44; IPBES_GA2.1_sup_6</t>
  </si>
  <si>
    <t>Sanitation only vs water supply and sanitation</t>
  </si>
  <si>
    <t>improved water supply and sanitation</t>
  </si>
  <si>
    <t>GEO_16_18_190</t>
  </si>
  <si>
    <t>G068</t>
  </si>
  <si>
    <t>agro-biodiversity</t>
  </si>
  <si>
    <t>GEO_23_24_262</t>
  </si>
  <si>
    <t>GBF, GEO</t>
  </si>
  <si>
    <t>agrobiodiversity index</t>
  </si>
  <si>
    <t>GBF_T10_CY_193</t>
  </si>
  <si>
    <t>G069</t>
  </si>
  <si>
    <t>air emission accounts</t>
  </si>
  <si>
    <t>GBF_T11_CY_199</t>
  </si>
  <si>
    <t>Air emissions vs air pollution emissions (same SEEA account)</t>
  </si>
  <si>
    <t>air pollution emissions account</t>
  </si>
  <si>
    <t>GBF_GB_CY_62</t>
  </si>
  <si>
    <t>G070</t>
  </si>
  <si>
    <t>air quality</t>
  </si>
  <si>
    <t>IPBES_GA_3_123_420; GEO_20_6_228</t>
  </si>
  <si>
    <t>air quality index</t>
  </si>
  <si>
    <t>GBF_GB_CY_61; GEO_12_12_111</t>
  </si>
  <si>
    <t>G071</t>
  </si>
  <si>
    <t>alcohol per capita consumption (aged 15 years and older) within a calendar year in litres of pure alcohol</t>
  </si>
  <si>
    <t>SDG_G3.5.2_40</t>
  </si>
  <si>
    <t>alcohol use</t>
  </si>
  <si>
    <t>GEO_21_17_251</t>
  </si>
  <si>
    <t>G072</t>
  </si>
  <si>
    <t>amount of funding provided through the global environment facility and allocated to the biodiversity focal area</t>
  </si>
  <si>
    <t>GBF_T19_CY_237</t>
  </si>
  <si>
    <t>GEF funding; one restricted to biodiversity allocation</t>
  </si>
  <si>
    <t>funding provided by the global environment facility</t>
  </si>
  <si>
    <t>IPBES_GA3_sup_66</t>
  </si>
  <si>
    <t>G073</t>
  </si>
  <si>
    <t>annual gsat change</t>
  </si>
  <si>
    <t>IPCC_1_50_21</t>
  </si>
  <si>
    <t>GSAT as level, change, mean or a specific reanalysis estimate</t>
  </si>
  <si>
    <t>estimate of gsat (era-5)</t>
  </si>
  <si>
    <t>IPCC_1_45_19</t>
  </si>
  <si>
    <t>global surface air temperature (gsat)</t>
  </si>
  <si>
    <t>IPCC_4_7_219; IPCC_9_11_426</t>
  </si>
  <si>
    <t>mean gsat</t>
  </si>
  <si>
    <t>G074</t>
  </si>
  <si>
    <t>arctic sea ice area</t>
  </si>
  <si>
    <t>IPCC_4_7_219; IPCC_9_37_433</t>
  </si>
  <si>
    <t>Area vs mean area vs qualitative decline</t>
  </si>
  <si>
    <t>mean arctic sea ice area</t>
  </si>
  <si>
    <t>IPCC_2_57_88</t>
  </si>
  <si>
    <t>shrinking of the arctic ice cover</t>
  </si>
  <si>
    <t>GEO_2_26_7</t>
  </si>
  <si>
    <t>G075</t>
  </si>
  <si>
    <t>atmospheric dust deposition</t>
  </si>
  <si>
    <t>IPCC_2_43_71</t>
  </si>
  <si>
    <t>Atmospheric vs global dust deposition</t>
  </si>
  <si>
    <t>global dust deposition</t>
  </si>
  <si>
    <t>IPCC_6_16_296</t>
  </si>
  <si>
    <t>G076</t>
  </si>
  <si>
    <t>atmospheric evaporative demand (aed)</t>
  </si>
  <si>
    <t>IPCC_11_60_547</t>
  </si>
  <si>
    <t>AED in general vs Penman-Monteith formulation</t>
  </si>
  <si>
    <t>penman-monteith aed (atmospheric evaporative demand)</t>
  </si>
  <si>
    <t>IPCC_11_61_551</t>
  </si>
  <si>
    <t>G077</t>
  </si>
  <si>
    <t>average share of the built-up area of cities that is green/blue space for public use for all</t>
  </si>
  <si>
    <t>GBF_T12_H_33</t>
  </si>
  <si>
    <t>Green/blue space (GBF 12.1) vs open space (SDG 11.7.1)</t>
  </si>
  <si>
    <t>average share of the built-up area of cities that is open space for public use for all, by sex, age and persons with disabilities</t>
  </si>
  <si>
    <t>SDG_G11.7.1_154</t>
  </si>
  <si>
    <t>G078</t>
  </si>
  <si>
    <t>change in # droughts</t>
  </si>
  <si>
    <t>IPCC_12_24_613</t>
  </si>
  <si>
    <t>Droughts as event count, index or severity index</t>
  </si>
  <si>
    <t>drought index (di)</t>
  </si>
  <si>
    <t>IPCC_12_43_640</t>
  </si>
  <si>
    <t>drought severity index</t>
  </si>
  <si>
    <t>IPCC_12_57_666</t>
  </si>
  <si>
    <t>droughts</t>
  </si>
  <si>
    <t>IPBES_GA_2.2_6_56</t>
  </si>
  <si>
    <t>G079</t>
  </si>
  <si>
    <t>change in # soil moisture</t>
  </si>
  <si>
    <t>Soil moisture as state, change or total</t>
  </si>
  <si>
    <t>changes in soil moisture</t>
  </si>
  <si>
    <t>IPCC_12_17_599</t>
  </si>
  <si>
    <t>soil moisture</t>
  </si>
  <si>
    <t>IPCC_8_33_375; IPCC_10_31_483; IPCC_12_17_601; IPCC_sup_48</t>
  </si>
  <si>
    <t>total soil moisture</t>
  </si>
  <si>
    <t>G080</t>
  </si>
  <si>
    <t>change in the extent of inland water ecosystems over time</t>
  </si>
  <si>
    <t>GBF_GA_CY_21</t>
  </si>
  <si>
    <t>Inland water vs all water-related ecosystems (SDG 6.6.1)</t>
  </si>
  <si>
    <t>change in the extent of water-related ecosystems over time</t>
  </si>
  <si>
    <t>GBF; SDG; IPBES</t>
  </si>
  <si>
    <t>GBF_GA_C_9; SDG_G6.6.1_91; IPBES_SUA_sup_6.6.1_36</t>
  </si>
  <si>
    <t>G081</t>
  </si>
  <si>
    <t>changes in mean precipitation</t>
  </si>
  <si>
    <t>IPCC_4_49_249</t>
  </si>
  <si>
    <t>Precipitation as state vs (mean) change</t>
  </si>
  <si>
    <t>changes in precipitation</t>
  </si>
  <si>
    <t>precipitation</t>
  </si>
  <si>
    <t>IPCC_2_26_47; IPCC_3_8_164; IPCC_8_28_370</t>
  </si>
  <si>
    <t>G082</t>
  </si>
  <si>
    <t>child mortality</t>
  </si>
  <si>
    <t>IPBES_GA_2_22_28; GEO_22_21_257</t>
  </si>
  <si>
    <t>Child vs under-five mortality; count vs rate</t>
  </si>
  <si>
    <t>child mortality rate</t>
  </si>
  <si>
    <t>IPBES_GA2.1_sup_22</t>
  </si>
  <si>
    <t>mortality rate under 5</t>
  </si>
  <si>
    <t>under-five child mortality rate</t>
  </si>
  <si>
    <t>SDG; GEO</t>
  </si>
  <si>
    <t>SDG_G3.2.1_30; GEO_20_6_228; GEO_21_17_252; GEO_21_18_253</t>
  </si>
  <si>
    <t>G083</t>
  </si>
  <si>
    <t>cites parties that have implemented relevant resolutions and decisions</t>
  </si>
  <si>
    <t>IPBES_SUA_4_68_125</t>
  </si>
  <si>
    <t>Implementation of resolutions vs reporting under resolutions</t>
  </si>
  <si>
    <t>number of parties that have implemented relevant reporting under resolutions and decisions of the conference of the parties and/or standing committee recommendations</t>
  </si>
  <si>
    <t>CITES_G1.3.1_4</t>
  </si>
  <si>
    <t>G084</t>
  </si>
  <si>
    <t>continuous global mangrove forest area</t>
  </si>
  <si>
    <t>GBF_GA_CY_8</t>
  </si>
  <si>
    <t>Mangrove extent/area: continuous, global, trend</t>
  </si>
  <si>
    <t>global cover of mangroves</t>
  </si>
  <si>
    <t>IPBES_GA_2.2_91_124</t>
  </si>
  <si>
    <t>mangrove forest area</t>
  </si>
  <si>
    <t>IPBES_GA_2.2_37_70; IPBES_GA_2.2_38_74; IPBES_GA_2.2_70_120; IPBES_VA_2_76_48; IPBES_GA2.2_sup_15; IPBES_GA3_sup_40</t>
  </si>
  <si>
    <t>trends in mangrove extent</t>
  </si>
  <si>
    <t>GBF_GA_CY_10</t>
  </si>
  <si>
    <t>G085</t>
  </si>
  <si>
    <t>coverage of protected areas and other effective area-based conservation measures</t>
  </si>
  <si>
    <t>GBF_T3_H_18</t>
  </si>
  <si>
    <t>PA/OECM coverage; with or without traditional territories</t>
  </si>
  <si>
    <t>coverage of protected areas and other effective area-based conservation measures and traditional territories (by governance type)</t>
  </si>
  <si>
    <t>GBF_T3_CY_139</t>
  </si>
  <si>
    <t>extent to which protected areas and other effective area-based conservation measures cover key biodiversity areas that are important for migratory species</t>
  </si>
  <si>
    <t>GBF_T3_CY_138</t>
  </si>
  <si>
    <t>G086</t>
  </si>
  <si>
    <t>coverage of protected areas in relation to marine areas</t>
  </si>
  <si>
    <t>GEO_14_14_147</t>
  </si>
  <si>
    <t>Marine vs marine and coastal areas</t>
  </si>
  <si>
    <t>protected area coverage of marine and coastal areas</t>
  </si>
  <si>
    <t>SDG_G14.5.1_188; IPBES_GA_3_72_395; IPBES_GA3_sup_41; IPBES_SUA_sup_14.5.1_115</t>
  </si>
  <si>
    <t>G087</t>
  </si>
  <si>
    <t>current distribution of species</t>
  </si>
  <si>
    <t>IPBES_IAS_2_155_79</t>
  </si>
  <si>
    <t>Distribution vs current/spatial distribution</t>
  </si>
  <si>
    <t>distribution of species</t>
  </si>
  <si>
    <t>IPCC_2_75_120</t>
  </si>
  <si>
    <t>spatial distribution of species</t>
  </si>
  <si>
    <t>IPBES_GA_2.3_40_140; IPBES_SUA_2_96_79</t>
  </si>
  <si>
    <t>G088</t>
  </si>
  <si>
    <t>daily exposure natural terrestrial, coastal and marine areas</t>
  </si>
  <si>
    <t>Visitation to natural areas in three wordings</t>
  </si>
  <si>
    <t>visitation rates to natural terrestrial, coastal, and marine areas</t>
  </si>
  <si>
    <t>visitation to natural areas</t>
  </si>
  <si>
    <t>IPBES_GA_2.3_50_149</t>
  </si>
  <si>
    <t>G089</t>
  </si>
  <si>
    <t>deaths due to unsafe water</t>
  </si>
  <si>
    <t>Deaths vs mortality rate; water vs water, sanitation and hygiene</t>
  </si>
  <si>
    <t>mortality rate attributed to unsafe water, unsafe sanitation and lack of hygiene (exposure to unsafe water, sanitation and hygiene for all (wash) services)</t>
  </si>
  <si>
    <t>GBF_T11_C_50; SDG_G3.9.2_47</t>
  </si>
  <si>
    <t>G090</t>
  </si>
  <si>
    <t>deforestation</t>
  </si>
  <si>
    <t>GEO_6_8_49</t>
  </si>
  <si>
    <t>Deforestation vs deforestation rate</t>
  </si>
  <si>
    <t>deforestation rate</t>
  </si>
  <si>
    <t>GEO_6_26_61; GEO_15_19_169</t>
  </si>
  <si>
    <t>G091</t>
  </si>
  <si>
    <t>degree of sustainable public procurement policies and action plan implementation</t>
  </si>
  <si>
    <t>IPBES_SUA_sup_12.7.1_97</t>
  </si>
  <si>
    <t>Degree of implementation vs number of countries implementing</t>
  </si>
  <si>
    <t>number of countries implementing sustainable public procurement policies and action plans</t>
  </si>
  <si>
    <t>SDG_G12.7.1_170</t>
  </si>
  <si>
    <t>G092</t>
  </si>
  <si>
    <t>direct economic loss attributed to disasters in relation to global gross domestic product</t>
  </si>
  <si>
    <t>SDG_G1.5.2_8; SDG_G11.5.2_149; IPBES_SUA_sup_1.5.2_7</t>
  </si>
  <si>
    <t>Same SDG 1.5.2/11.5.2 family; one adds infrastructure and services</t>
  </si>
  <si>
    <t>direct economic loss in relation to global gross domestic product, damage to critical infrastructure and number of disruptions to basic services, attributed to disasters</t>
  </si>
  <si>
    <t>IPBES_SUA_sup_11.5.2_82</t>
  </si>
  <si>
    <t>G093</t>
  </si>
  <si>
    <t>domestic material consumption</t>
  </si>
  <si>
    <t>IPBES_GA_2_24_29; GEO_17_20_213; IPBES_GA2.1_sup_7</t>
  </si>
  <si>
    <t>Single DMC vs DMC in absolute, per capita and per GDP</t>
  </si>
  <si>
    <t>domestic material consumption, domestic material consumption, and domestic material consumption per gross domestic product</t>
  </si>
  <si>
    <t>SDG_G8.4.2_104; SDG_G12.2.2_162; IPBES_SUA_sup_8.4.2_48; IPBES_SUA_sup_12.2.2_90</t>
  </si>
  <si>
    <t>G094</t>
  </si>
  <si>
    <t>energy intensity measured in terms of primary energy and gross domestic product</t>
  </si>
  <si>
    <t>SDG_G7.3.1_97; IPBES_SUA_sup_7.3.1_41</t>
  </si>
  <si>
    <t>energy-intensity</t>
  </si>
  <si>
    <t>GEO_22_12_256</t>
  </si>
  <si>
    <t>G095</t>
  </si>
  <si>
    <t>evaporative demand drought index (eddi)</t>
  </si>
  <si>
    <t>IPCC_11_58_543</t>
  </si>
  <si>
    <t>EDDI alone vs bundled with potential evaporation</t>
  </si>
  <si>
    <t>potential evaporation, evaporative demand drought index</t>
  </si>
  <si>
    <t>IPCC_sup_35</t>
  </si>
  <si>
    <t>G096</t>
  </si>
  <si>
    <t>extent of ice cover</t>
  </si>
  <si>
    <t>GEO, IPBES, IPCC</t>
  </si>
  <si>
    <t>Ice cover vs sea ice extent vs mean polar sea ice extent</t>
  </si>
  <si>
    <t>mean polar sea ice extent</t>
  </si>
  <si>
    <t>IPBES_GA_3_51_381; IPBES_GA3_sup_38</t>
  </si>
  <si>
    <t>sea ice extent</t>
  </si>
  <si>
    <t>IPCC_1_70_30; IPCC_2_26_47</t>
  </si>
  <si>
    <t>G097</t>
  </si>
  <si>
    <t>extinction risk</t>
  </si>
  <si>
    <t>Risk in general vs count of species at risk</t>
  </si>
  <si>
    <t>number of species at risk of extinction</t>
  </si>
  <si>
    <t>IPBES_IAS_4_22_102</t>
  </si>
  <si>
    <t>G098</t>
  </si>
  <si>
    <t>extinction risk of wild relatives of domesticated or farmed birds and mammals</t>
  </si>
  <si>
    <t>IPBES_GA_3_44_371</t>
  </si>
  <si>
    <t>Same group of species; RLI is the formal index</t>
  </si>
  <si>
    <t>red list index (wild relatives of farmed and domesticated species)</t>
  </si>
  <si>
    <t>GBF_GA_CY_48; GBF_T4_CY_152; GBF_T10_CY_195; IPBES_GA_2.2_51_92; IPBES_GA2.2_sup_64; IPBES_GA3_sup_54</t>
  </si>
  <si>
    <t>G099</t>
  </si>
  <si>
    <t>finance mobilized for promoting the development, transfer, dissemination and diffusion of technology</t>
  </si>
  <si>
    <t>GBF_GD_CY_97</t>
  </si>
  <si>
    <t>Finance for technology transfer: GBF wording vs SDG 17.7.1</t>
  </si>
  <si>
    <t>total amount of funding for developing countries to promote the development, transfer, dissemination and diffusion of environmentally sound technologies</t>
  </si>
  <si>
    <t>GBF; SDG; UNCCD; IPBES</t>
  </si>
  <si>
    <t>GBF_GD_CY_104; GBF_T19_CY_244; SDG_G17.7.1_244; UNCCD_SO5.5_14; IPBES_SUA_sup_17.7.1_144</t>
  </si>
  <si>
    <t>G100</t>
  </si>
  <si>
    <t>flood index (fi)</t>
  </si>
  <si>
    <t>IPCC_sup_47</t>
  </si>
  <si>
    <t>floods</t>
  </si>
  <si>
    <t>G101</t>
  </si>
  <si>
    <t>glacier areal and mass changes/loss rate</t>
  </si>
  <si>
    <t>IPCC_2_60_95</t>
  </si>
  <si>
    <t>Glacier mass loss, balance and areal change</t>
  </si>
  <si>
    <t>glacier mass balance</t>
  </si>
  <si>
    <t>IPBES_GA_3_51_381; GEO_2_26_7; IPBES_GA3_sup_37</t>
  </si>
  <si>
    <t>glacier mass loss</t>
  </si>
  <si>
    <t>IPCC_1_13_4; IPCC_9_65_447</t>
  </si>
  <si>
    <t>G102</t>
  </si>
  <si>
    <t>global linguistic diversity index and language threat level</t>
  </si>
  <si>
    <t>With and without language threat level</t>
  </si>
  <si>
    <t>linguistic diversity index</t>
  </si>
  <si>
    <t>GBF_GB_CY_83; IPBES_GA_2_41_36</t>
  </si>
  <si>
    <t>G103</t>
  </si>
  <si>
    <t>global mean ocean surface ph</t>
  </si>
  <si>
    <t>Global mean vs local surface vs unspecified ocean pH</t>
  </si>
  <si>
    <t>ocean ph</t>
  </si>
  <si>
    <t>IPCC_4_18_229</t>
  </si>
  <si>
    <t>ph of ocean surface water</t>
  </si>
  <si>
    <t>IPCC_1_32_16</t>
  </si>
  <si>
    <t>G104</t>
  </si>
  <si>
    <t>global mean sea level (gmsl)</t>
  </si>
  <si>
    <t>IPCC_1_16_6; IPCC_9_96_465</t>
  </si>
  <si>
    <t>Sea level as state, change, rise, rate or global mean</t>
  </si>
  <si>
    <t>increase in the global mean sea level</t>
  </si>
  <si>
    <t>rate of rslr (relative sea level rise)</t>
  </si>
  <si>
    <t>IPCC_12_20_605</t>
  </si>
  <si>
    <t>sea level</t>
  </si>
  <si>
    <t>IPCC_2_26_47; GEO_2_26_7</t>
  </si>
  <si>
    <t>sea level change</t>
  </si>
  <si>
    <t>IPCC_1_13_4</t>
  </si>
  <si>
    <t>sea level rise</t>
  </si>
  <si>
    <t>GEO_4_13_34</t>
  </si>
  <si>
    <t>G105</t>
  </si>
  <si>
    <t>global seagrass extent (seagrass cover and composition)</t>
  </si>
  <si>
    <t>GBF_GA_CY_14</t>
  </si>
  <si>
    <t>Extent with composition vs meadow area</t>
  </si>
  <si>
    <t>seagrass meadow area</t>
  </si>
  <si>
    <t>IPBES_GA_2.2_37_70; IPBES_GA_2.2_38_74; IPBES_GA2.2_sup_22</t>
  </si>
  <si>
    <t>G106</t>
  </si>
  <si>
    <t>governance index</t>
  </si>
  <si>
    <t>IPBES_SUA_6_77_200</t>
  </si>
  <si>
    <t>Governance index vs quality of governance index</t>
  </si>
  <si>
    <t>quality of governance index</t>
  </si>
  <si>
    <t>IPBES_SUA_4_61_118</t>
  </si>
  <si>
    <t>G107</t>
  </si>
  <si>
    <t>gross national happiness index</t>
  </si>
  <si>
    <t>IPBES_GA_1_19_6; IPBES_GA_5_69_253; IPBES_GA_6_140_290; IPBES_SUA_1_12_5; IPBES_VA_2_29_20; IPBES_IAS_6_85_153</t>
  </si>
  <si>
    <t>Generic vs Bhutan-specific</t>
  </si>
  <si>
    <t>gross national happiness index of bhutan</t>
  </si>
  <si>
    <t>IPBES_VA_6_21_143</t>
  </si>
  <si>
    <t>G108</t>
  </si>
  <si>
    <t>hard coral cover and composition</t>
  </si>
  <si>
    <t>GBF_GA_CY_12</t>
  </si>
  <si>
    <t>Coral cover; with or without composition</t>
  </si>
  <si>
    <t>live coral cover</t>
  </si>
  <si>
    <t>GBF_GA_CY_11; IPBES_GA_2.2_37_70; IPBES_GA_2.2_38_74; IPBES_GA_2.2_91_124; IPBES_GA2.2_sup_17; IPBES_GA3_sup_36</t>
  </si>
  <si>
    <t>percentage of live coral cover</t>
  </si>
  <si>
    <t>IPBES_GA_2.2_70_120; IPBES_GA_3_34_361</t>
  </si>
  <si>
    <t>G109</t>
  </si>
  <si>
    <t>integration of biodiversity into national accounting and reporting systems, defined as implementation of the system of environmental-economic accounting</t>
  </si>
  <si>
    <t>GBF_GC_CY_94; SDG_G15.9.1.b_206; IPBES_SUA_sup_15.9.1.b_132</t>
  </si>
  <si>
    <t>SEEA implementation vs integration of biodiversity values in accounting</t>
  </si>
  <si>
    <t>number of countries implementing the system of environmental economic accounting</t>
  </si>
  <si>
    <t>IPBES_VA_4_73_122</t>
  </si>
  <si>
    <t>number of countries that have integrated biodiversity values into national accounting and reporting systems, defined as implementation of the system of environmental-economic accounting (seea)</t>
  </si>
  <si>
    <t>number of countries with implementation of the system of environmental economic accounting</t>
  </si>
  <si>
    <t>GBF_T14_C_56</t>
  </si>
  <si>
    <t>united nations system of environmental economic accounting</t>
  </si>
  <si>
    <t>IPBES_VA_2_39_33</t>
  </si>
  <si>
    <t>G110</t>
  </si>
  <si>
    <t>international public funding, including official development assistance (oda) for conservation and sustainable use of biodiversity and ecosystems</t>
  </si>
  <si>
    <t>GBF_GD_H_10; GBF_T19_H_45</t>
  </si>
  <si>
    <t>ODA vs international public funding including ODA</t>
  </si>
  <si>
    <t>official development assistance on conservation and sustainable use of biodiversity</t>
  </si>
  <si>
    <t>SDG_G15.a.1.a_207; SDG_G15.b.1.a_209; IPBES_SUA_sup_15.a.1.a_133; IPBES_SUA_sup_15.b.1.a_135</t>
  </si>
  <si>
    <t>G111</t>
  </si>
  <si>
    <t>invasive alien species impact</t>
  </si>
  <si>
    <t>IPBES_IAS_6_114_165</t>
  </si>
  <si>
    <t>IAS impacts: impact, rate of impact, trends in numbers and impacts</t>
  </si>
  <si>
    <t>rate of invasive species impact and rate of impact</t>
  </si>
  <si>
    <t>GBF_T6_C_33</t>
  </si>
  <si>
    <t>trends in numbers and spatial distribution of invasive alien species and their impacts</t>
  </si>
  <si>
    <t>IPBES_IAS_6_119_174</t>
  </si>
  <si>
    <t>trends in numbers of invasive alien species and their impacts</t>
  </si>
  <si>
    <t>IPBES_IAS_6_11_138</t>
  </si>
  <si>
    <t>G112</t>
  </si>
  <si>
    <t>land use change</t>
  </si>
  <si>
    <t>IPBES_GA_2_83_42; GEO_6_8_49</t>
  </si>
  <si>
    <t>Land-use change vs its rate</t>
  </si>
  <si>
    <t>land-use change</t>
  </si>
  <si>
    <t>GEO_21_10_246</t>
  </si>
  <si>
    <t>rate of land use change</t>
  </si>
  <si>
    <t>IPBES_GA_2.3_39_137</t>
  </si>
  <si>
    <t>G113</t>
  </si>
  <si>
    <t>malnutrition</t>
  </si>
  <si>
    <t>GEO_3_12_24</t>
  </si>
  <si>
    <t>State vs reduction framing</t>
  </si>
  <si>
    <t>reduced malnutrition</t>
  </si>
  <si>
    <t>G114</t>
  </si>
  <si>
    <t>marine sediment cores</t>
  </si>
  <si>
    <t>IPCC_2_29_60; IPCC_2_89_153</t>
  </si>
  <si>
    <t>Cores vs sediments</t>
  </si>
  <si>
    <t>marine sediments</t>
  </si>
  <si>
    <t>IPCC_2_57_89; IPCC_2_61_98</t>
  </si>
  <si>
    <t>G115</t>
  </si>
  <si>
    <t>marine stewardship council certified catch</t>
  </si>
  <si>
    <t>GBF_T5_CY_156; IPBES_SUA_2_90_65</t>
  </si>
  <si>
    <t>Certified catch vs certified fisheries</t>
  </si>
  <si>
    <t>marine stewardship council certified fisheries</t>
  </si>
  <si>
    <t>IPBES_GA_4_152_225; IPBES_GA_3_15_329; IPBES_GA3_sup_21</t>
  </si>
  <si>
    <t>G116</t>
  </si>
  <si>
    <t>material footprint per capita</t>
  </si>
  <si>
    <t>GBF_T16_C_59</t>
  </si>
  <si>
    <t>Per capita only vs absolute, per capita and per GDP</t>
  </si>
  <si>
    <t>material footprint, material footprint per capita, and material footprint per gross domestic product</t>
  </si>
  <si>
    <t>SDG_G8.4.1_103; SDG_G12.2.1_161; IPBES_SUA_sup_8.4.1_47; IPBES_SUA_sup_12.2.1_89</t>
  </si>
  <si>
    <t>G117</t>
  </si>
  <si>
    <t>mean air temperature</t>
  </si>
  <si>
    <t>IPCC_11_39_524</t>
  </si>
  <si>
    <t>Mean air temperature vs mean annual temperature</t>
  </si>
  <si>
    <t>mean annual temperature</t>
  </si>
  <si>
    <t>G118</t>
  </si>
  <si>
    <t>municipal solid waste collected and managed</t>
  </si>
  <si>
    <t>GBF_T7_CY_172</t>
  </si>
  <si>
    <t>Collected and managed vs proportion in controlled facilities (SDG 11.6.1)</t>
  </si>
  <si>
    <t>proportion of municipal solid waste collected and managed in controlled facilities out of total municipal waste generated, by cities</t>
  </si>
  <si>
    <t>SDG_G11.6.1_152</t>
  </si>
  <si>
    <t>G119</t>
  </si>
  <si>
    <t>number of (a) plant and (b) animal genetic resources for food and agriculture secured in either medium- or long-term conservation facilities</t>
  </si>
  <si>
    <t>SDG_G2.5.1_22</t>
  </si>
  <si>
    <t>Plant and animal genetic resources (SDG 2.5.1); one drops "for food and agriculture"</t>
  </si>
  <si>
    <t>number of plant and animal genetic resources for food and agriculture secured in either medium- or long-term conservation facilities</t>
  </si>
  <si>
    <t>GBF_GA_CY_46; GBF_T9_CY_191; IPBES_SUA_sup_2.5.1_20</t>
  </si>
  <si>
    <t>number of plant and animal genetic resources secured in medium or long-term conservation facilities</t>
  </si>
  <si>
    <t>GBF_T4_C_26; IPBES_GA3_sup_52</t>
  </si>
  <si>
    <t>G120</t>
  </si>
  <si>
    <t>number of countries implementing national legislation, policies or other measures regarding fpic related to conservation</t>
  </si>
  <si>
    <t>GBF_T1_CY_113; GBF_T3_CY_144</t>
  </si>
  <si>
    <t>Countries with IAS legislation: number, percentage, proportion, trend</t>
  </si>
  <si>
    <t>percentage of countries with invasive alien species legislation</t>
  </si>
  <si>
    <t>IPBES_GA_3_72_395; IPBES_GA3_sup_35</t>
  </si>
  <si>
    <t>proportion of countries adopting relevant national legislation and adequately resourcing the prevention or control of invasive alien species</t>
  </si>
  <si>
    <t>SDG_G15.8.1_204; IPBES_IAS_5_120_132; GEO_13_17_134; IPBES_SUA_sup_15.8.1_130</t>
  </si>
  <si>
    <t>trends in numbers of countries with national legislation and other policy measures relevant to the prevention and/or control of invasive alien species</t>
  </si>
  <si>
    <t>IPBES_IAS_6_11_138; IPBES_IAS_6_119_174</t>
  </si>
  <si>
    <t>G121</t>
  </si>
  <si>
    <t>number of countries that have ratified the nagoya protocol</t>
  </si>
  <si>
    <t>IPBES_GA_3_175_446</t>
  </si>
  <si>
    <t>Number vs percentage</t>
  </si>
  <si>
    <t>percentage of countries that have ratified the nagoya protocol</t>
  </si>
  <si>
    <t>IPBES_GA3_sup_59</t>
  </si>
  <si>
    <t>G122</t>
  </si>
  <si>
    <t>number of countries where the legal framework (including customary law) guarantees women's equal rights to land ownership and/or control</t>
  </si>
  <si>
    <t>GBF_T22_CY_259</t>
  </si>
  <si>
    <t>Number vs proportion of countries</t>
  </si>
  <si>
    <t>proportion of countries where the legal framework (including customary law) guarantees women equal rights to land ownership and/or control</t>
  </si>
  <si>
    <t>GBF_T23_CY_270; SDG_G5.a.2_80; IPBES_SUA_sup_5.a.2_28</t>
  </si>
  <si>
    <t>G123</t>
  </si>
  <si>
    <t>number of countries with biodiversity relevant charges and fees</t>
  </si>
  <si>
    <t>GBF_T18_CY_232</t>
  </si>
  <si>
    <t>Taxes, charges and fees split or combined</t>
  </si>
  <si>
    <t>number of countries with biodiversity relevant taxes</t>
  </si>
  <si>
    <t>GBF_T18_CY_231</t>
  </si>
  <si>
    <t>number of countries with national instruments on biodiversity relevant taxes, charges and fees</t>
  </si>
  <si>
    <t>G124</t>
  </si>
  <si>
    <t>number of countries with developed or revised nbsaps</t>
  </si>
  <si>
    <t>Developed or revised vs revised only; number vs percentage</t>
  </si>
  <si>
    <t>percentage of countries with revised nbsaps</t>
  </si>
  <si>
    <t>IPBES_GA3_sup_60</t>
  </si>
  <si>
    <t>G125</t>
  </si>
  <si>
    <t>number of countries with migration policies that facilitate orderly, safe, regular and responsible migration and mobility of people</t>
  </si>
  <si>
    <t>IPBES_SUA_sup_10.7.2_75</t>
  </si>
  <si>
    <t>proportion of countries with migration policies that facilitate orderly, safe, regular and responsible migration and mobility of people</t>
  </si>
  <si>
    <t>SDG_G10.7.2_137</t>
  </si>
  <si>
    <t>G126</t>
  </si>
  <si>
    <t>number of countries with regulations requiring recovered of depleted species</t>
  </si>
  <si>
    <t>IPBES_SUA_2_90_65</t>
  </si>
  <si>
    <t>Number of countries vs presence</t>
  </si>
  <si>
    <t>presence of regulations requiring recovery of depleted species</t>
  </si>
  <si>
    <t>G127</t>
  </si>
  <si>
    <t>number of countries with systems to track and make public allocations for gender equality and women's empowerment</t>
  </si>
  <si>
    <t>GBF_T22_CY_256; GBF_T23_CY_267</t>
  </si>
  <si>
    <t>proportion of countries with systems to track and make public allocations for gender equality and women’s empowerment</t>
  </si>
  <si>
    <t>SDG_G5.c.1_82; IPBES_SUA_sup_5.c.1_29</t>
  </si>
  <si>
    <t>G128</t>
  </si>
  <si>
    <t>number of invasive alien species introduction events</t>
  </si>
  <si>
    <t>GBF_T6_C_35; IPBES_GA_3_72_395; IPBES_GA3_sup_33</t>
  </si>
  <si>
    <t>Count vs trend</t>
  </si>
  <si>
    <t>trends in the numbers of invasive alien species introduction events</t>
  </si>
  <si>
    <t>G129</t>
  </si>
  <si>
    <t>number of parties that are in category 1 under the national legislation project</t>
  </si>
  <si>
    <t>CITES_G1.1.1_1</t>
  </si>
  <si>
    <t>Number vs percentage of Category 1 Parties</t>
  </si>
  <si>
    <t>percentage of countries that are category 1 cites parties</t>
  </si>
  <si>
    <t>IPBES_GA_1_52_19; IPBES_GA_3_15_329; IPBES_GA3_sup_9</t>
  </si>
  <si>
    <t>G130</t>
  </si>
  <si>
    <t>number of permits or their equivalents for genetic resources (including those related to traditional knowledge) by type of permit</t>
  </si>
  <si>
    <t>GBF_T13_C_55</t>
  </si>
  <si>
    <t>Permits by type vs total permits granted</t>
  </si>
  <si>
    <t>total number of permits, or their equivalent, granted for access to genetic resources</t>
  </si>
  <si>
    <t>GBF_T13_CY_205</t>
  </si>
  <si>
    <t>G131</t>
  </si>
  <si>
    <t>number of protected area management effectiveness (pame) assessments</t>
  </si>
  <si>
    <t>IPBES_GA_3_72_395; IPBES_VA_3_27_60; IPBES_GA3_sup_47</t>
  </si>
  <si>
    <t>PAME assessments; MEPCA adds OECMs</t>
  </si>
  <si>
    <t>protected area and oecm management effectiveness (mepca) indicator</t>
  </si>
  <si>
    <t>GBF_T3_CY_135</t>
  </si>
  <si>
    <t>protected area management effectiveness (pame)</t>
  </si>
  <si>
    <t>GBF_T3_C_18; IPBES_GA_1_52_19</t>
  </si>
  <si>
    <t>G132</t>
  </si>
  <si>
    <t>number of publications</t>
  </si>
  <si>
    <t>IPBES_SUA_4_2_109</t>
  </si>
  <si>
    <t>All publications vs biodiversity publications</t>
  </si>
  <si>
    <t>numbers of scientific publications on biodiversity</t>
  </si>
  <si>
    <t>IPBES_GA_3_49_379</t>
  </si>
  <si>
    <t>G133</t>
  </si>
  <si>
    <t>number of ramsar sites reported by parties to the ramsar secretariat of negative human-induced change or likely change in the ecological character of ramsar sites pursuant to article 3.2</t>
  </si>
  <si>
    <t>RAMSAR_SG2.7_27</t>
  </si>
  <si>
    <t>Number of sites vs percentage of Parties reporting</t>
  </si>
  <si>
    <t>percentage of parties reporting to the ramsar secretariat all cases of negative human-induced change or likely change in the ecological character of ramsar sites pursuant to article 3.2</t>
  </si>
  <si>
    <t>RAMSAR_SG2.7_26</t>
  </si>
  <si>
    <t>G134</t>
  </si>
  <si>
    <t>ocean acidification</t>
  </si>
  <si>
    <t>GBF_GB_CY_65; GEO_2_26_7</t>
  </si>
  <si>
    <t>reduced ocean acidification</t>
  </si>
  <si>
    <t>G135</t>
  </si>
  <si>
    <t>ocean salinity</t>
  </si>
  <si>
    <t>IPCC_3_84_212</t>
  </si>
  <si>
    <t>Ocean salinity vs salinity</t>
  </si>
  <si>
    <t>salinity</t>
  </si>
  <si>
    <t>G136</t>
  </si>
  <si>
    <t>overall species abundance</t>
  </si>
  <si>
    <t>Overall vs unspecified</t>
  </si>
  <si>
    <t>species abundance</t>
  </si>
  <si>
    <t>GEO_6_16_54</t>
  </si>
  <si>
    <t>G137</t>
  </si>
  <si>
    <t>pesticide use</t>
  </si>
  <si>
    <t>IPBES_GA_3_51_381; IPBES_GA_3_54_387; IPBES_GA2.1_sup_42; IPBES_GA3_sup_31</t>
  </si>
  <si>
    <t>Pesticide use: total, per cropland area, rate, trend</t>
  </si>
  <si>
    <t>pesticide use per area of cropland</t>
  </si>
  <si>
    <t>GBF_T7_CY_180</t>
  </si>
  <si>
    <t>rate of use of pesticides</t>
  </si>
  <si>
    <t>IPBES_VA_3_26_59</t>
  </si>
  <si>
    <t>trends in pesticide use</t>
  </si>
  <si>
    <t>G138</t>
  </si>
  <si>
    <t>proportion of the population who are refugees, by country of origin</t>
  </si>
  <si>
    <t>SDG_G10.7.4_139; IPBES_SUA_sup_10.7.4_77</t>
  </si>
  <si>
    <t>Proportion vs absolute population</t>
  </si>
  <si>
    <t>refugee population</t>
  </si>
  <si>
    <t>IPBES_GA2.1_sup_25</t>
  </si>
  <si>
    <t>G139</t>
  </si>
  <si>
    <t>proportion of urban population</t>
  </si>
  <si>
    <t>urban population</t>
  </si>
  <si>
    <t>IPBES_GA2.1_sup_23</t>
  </si>
  <si>
    <t>G140</t>
  </si>
  <si>
    <t>rate of wood removal</t>
  </si>
  <si>
    <t>Rate vs total</t>
  </si>
  <si>
    <t>total wood removals</t>
  </si>
  <si>
    <t>G141</t>
  </si>
  <si>
    <t>simulated global mean surface air temperature (gsat)</t>
  </si>
  <si>
    <t>Level vs anomalies</t>
  </si>
  <si>
    <t>simulated global mean surface air temperature (gsat) anomalies</t>
  </si>
  <si>
    <t>G142</t>
  </si>
  <si>
    <t>snow cover</t>
  </si>
  <si>
    <t>IPCC_12_18_602</t>
  </si>
  <si>
    <t>All vs terrestrial</t>
  </si>
  <si>
    <t>terrestrial snow cover</t>
  </si>
  <si>
    <t>G143</t>
  </si>
  <si>
    <t>species occurrence records accessible through the global biodiversity information facility</t>
  </si>
  <si>
    <t>GBF_T21_CY_249; IPBES_GA_1_52_19; IPBES_GA3_sup_64</t>
  </si>
  <si>
    <t>Occurrence records vs species with data in GBIF</t>
  </si>
  <si>
    <t>species with data included in the global biodiversity information facility</t>
  </si>
  <si>
    <t>G144</t>
  </si>
  <si>
    <t>spread of alien species by pathway</t>
  </si>
  <si>
    <t>IPBES_IAS_6_97_160</t>
  </si>
  <si>
    <t>Spread by pathway vs trends in pathways</t>
  </si>
  <si>
    <t>trends in pathways of introduction and spread</t>
  </si>
  <si>
    <t>G145</t>
  </si>
  <si>
    <t>terrestrial vegetation biomass</t>
  </si>
  <si>
    <t>Terrestrial vs unspecified</t>
  </si>
  <si>
    <t>vegetation biomass</t>
  </si>
  <si>
    <t>IPBES_GA_2.2_37_70; IPBES_GA2.2_sup_26</t>
  </si>
  <si>
    <t>G146</t>
  </si>
  <si>
    <t>total official flows (official development assistance plus other official flows) to the agriculture sector</t>
  </si>
  <si>
    <t>SDG_G2.a.2_25; IPBES_SUA_sup_2.a.2_23</t>
  </si>
  <si>
    <t>IPBES, SDG, UNCCD</t>
  </si>
  <si>
    <t>SDG 2.a.2 wording variants; UNCCD trend in ODA</t>
  </si>
  <si>
    <t>total official international support (official development assistance plus other official flows) to infrastructure</t>
  </si>
  <si>
    <t>SDG_G9.a.1_126; IPBES_SUA_sup_9.a.1_67</t>
  </si>
  <si>
    <t>trends in international bilateral and multilateral official development assistance</t>
  </si>
  <si>
    <t>UNCCD_SO5.1_10</t>
  </si>
  <si>
    <t>G147</t>
  </si>
  <si>
    <t>trends in successful control and eradications of invasive alien species</t>
  </si>
  <si>
    <t>Control and eradication vs eradication</t>
  </si>
  <si>
    <t>trends in successful eradications of invasive alien species</t>
  </si>
  <si>
    <t>G148</t>
  </si>
  <si>
    <t>volcanic activity</t>
  </si>
  <si>
    <t>IPCC_3_17_173</t>
  </si>
  <si>
    <t>Activity vs eruptions</t>
  </si>
  <si>
    <t>volcanic eruptions</t>
  </si>
  <si>
    <t>IPCC_8_90_424</t>
  </si>
  <si>
    <t>G149</t>
  </si>
  <si>
    <t>water quality</t>
  </si>
  <si>
    <t>IPBES_GA_3_123_420</t>
  </si>
  <si>
    <t>water quality index (watqi)</t>
  </si>
  <si>
    <t>IPBES_GA_2_110_45</t>
  </si>
  <si>
    <t>Measure</t>
  </si>
  <si>
    <t>Value</t>
  </si>
  <si>
    <t>Groups: same metric, different wording</t>
  </si>
  <si>
    <t>Groups: near-equivalent</t>
  </si>
  <si>
    <t>Indicators in same-metric groups</t>
  </si>
  <si>
    <t>Indicators in near-equivalent groups</t>
  </si>
  <si>
    <t>Same-metric groups where merging creates new cross-source sharing</t>
  </si>
  <si>
    <t>All groups where merging creates new cross-source sharing</t>
  </si>
  <si>
    <t>Input: all_indicators_classified_20052025.csv (1,829 harmonised indicators).</t>
  </si>
  <si>
    <t>Step 1. Candidate pairs: names normalised (lower case, punctuation, plurals, stop words, acronyms in brackets) and compared with TF-IDF cosine similarity on words and character n-grams (threshold 0.55); acronyms were also expanded (e.g. ghg = greenhouse gas) and a lower band (0.45-0.62) was scanned for pairs from different sources. About 1,650 pairs reviewed.</t>
  </si>
  <si>
    <t>Step 2. Manual review of every candidate pair.</t>
  </si>
  <si>
    <t>"Same metric, different wording": spelling, punctuation, plural, word order, typo, acronym, percentage vs proportion, or "trends in X" vs "X". Safe to merge in the harmonisation.</t>
  </si>
  <si>
    <t>"Near-equivalent": same underlying measure but differing in unit or framing (number vs proportion of countries, state vs change, variable vs index, minor scope change). Merge only if that difference does not matter for the analysis.</t>
  </si>
  <si>
    <t>Excluded: true variants (different taxa, realms, thresholds, percentiles, max vs min, hotspots vs indigenous lands, Red List Index sub-indices, different named indices such as GMST vs GSAT or IPO vs PDO).</t>
  </si>
  <si>
    <t>"Merging adds sharing" = Yes when the group spans more sources than its best-covered member, i.e. merging would raise the count of metrics reused across sources.</t>
  </si>
  <si>
    <t>Limitation: lexical matching misses synonyms with no shared words; groups are a review aid, not a final classification.</t>
  </si>
  <si>
    <t>Concept vs indicator or index</t>
  </si>
  <si>
    <t>Variable vs indicators or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</si>
</sst>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1"/>
      <color rgb="FFFFFFFF"/>
      <name val="Arial"/>
      <charset val="1"/>
    </font>
    <font>
      <sz val="10"/>
      <name val="Arial"/>
      <charset val="1"/>
    </font>
    <font>
      <sz val="10"/>
      <color rgb="FFFF0000"/>
      <name val="Arial"/>
      <family val="2"/>
    </font>
    <font>
      <sz val="11"/>
      <color rgb="FFFF0000"/>
      <name val="Calibri"/>
      <family val="2"/>
      <charset val="1"/>
    </font>
    <font>
      <sz val="10"/>
      <color theme="9"/>
      <name val="Arial"/>
      <family val="2"/>
    </font>
    <font>
      <sz val="10"/>
      <name val="Arial"/>
      <family val="2"/>
    </font>
    <font>
      <b/>
      <sz val="11"/>
      <color rgb="FFFFFFFF"/>
      <name val="Arial"/>
      <family val="2"/>
    </font>
  </fonts>
  <fills count="4">
    <fill>
      <patternFill patternType="none"/>
    </fill>
    <fill>
      <patternFill patternType="gray125"/>
    </fill>
    <fill>
      <patternFill patternType="solid">
        <fgColor rgb="FF1F4E5A"/>
        <bgColor rgb="FF003366"/>
      </patternFill>
    </fill>
    <fill>
      <patternFill patternType="solid">
        <fgColor rgb="FFEEF4F5"/>
        <bgColor rgb="FFFFFFFF"/>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vertical="center" wrapText="1"/>
    </xf>
    <xf numFmtId="0" fontId="2" fillId="3" borderId="0" xfId="0" applyFont="1" applyFill="1" applyAlignment="1">
      <alignment vertical="top" wrapText="1"/>
    </xf>
    <xf numFmtId="0" fontId="2" fillId="0" borderId="0" xfId="0" applyFont="1" applyAlignment="1">
      <alignment vertical="top" wrapText="1"/>
    </xf>
    <xf numFmtId="0" fontId="1" fillId="2" borderId="0" xfId="0" applyFont="1" applyFill="1"/>
    <xf numFmtId="0" fontId="2" fillId="0" borderId="0" xfId="0" applyFont="1"/>
    <xf numFmtId="0" fontId="2" fillId="0" borderId="0" xfId="0" applyFont="1" applyAlignment="1">
      <alignment wrapText="1"/>
    </xf>
    <xf numFmtId="0" fontId="3" fillId="0" borderId="0" xfId="0" applyFont="1" applyAlignment="1">
      <alignment vertical="top" wrapText="1"/>
    </xf>
    <xf numFmtId="0" fontId="4" fillId="0" borderId="0" xfId="0" applyFont="1"/>
    <xf numFmtId="0" fontId="3" fillId="3" borderId="0" xfId="0" applyFont="1" applyFill="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2" borderId="0" xfId="0" applyFont="1" applyFill="1" applyAlignment="1">
      <alignment vertical="center" wrapText="1"/>
    </xf>
  </cellXfs>
  <cellStyles count="1">
    <cellStyle name="Normal" xfId="0" builtinId="0"/>
  </cellStyles>
  <dxfs count="2">
    <dxf>
      <fill>
        <patternFill patternType="solid">
          <fgColor rgb="FFFF0000"/>
          <bgColor rgb="FFFFFFFF"/>
        </patternFill>
      </fill>
    </dxf>
    <dxf>
      <fill>
        <patternFill patternType="solid">
          <fgColor rgb="FFFF0000"/>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F4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6"/>
  <sheetViews>
    <sheetView tabSelected="1" zoomScaleNormal="100" workbookViewId="0">
      <pane xSplit="2" ySplit="1" topLeftCell="C11" activePane="bottomRight" state="frozen"/>
      <selection pane="topRight" activeCell="C1" sqref="C1"/>
      <selection pane="bottomLeft" activeCell="A2" sqref="A2"/>
      <selection pane="bottomRight" activeCell="E15" sqref="E15"/>
    </sheetView>
  </sheetViews>
  <sheetFormatPr defaultColWidth="8.6328125" defaultRowHeight="14.5" x14ac:dyDescent="0.35"/>
  <cols>
    <col min="1" max="1" width="8" customWidth="1"/>
    <col min="2" max="2" width="11" customWidth="1"/>
    <col min="3" max="3" width="55" customWidth="1"/>
    <col min="4" max="4" width="8.6328125" customWidth="1"/>
    <col min="5" max="5" width="15.26953125" customWidth="1"/>
    <col min="6" max="6" width="8.453125" customWidth="1"/>
    <col min="7" max="7" width="12" customWidth="1"/>
    <col min="8" max="8" width="16" customWidth="1"/>
    <col min="9" max="9" width="45" customWidth="1"/>
  </cols>
  <sheetData>
    <row r="1" spans="1:9" ht="42" x14ac:dyDescent="0.35">
      <c r="A1" s="12" t="s">
        <v>0</v>
      </c>
      <c r="B1" s="1" t="s">
        <v>1</v>
      </c>
      <c r="C1" s="1" t="s">
        <v>2</v>
      </c>
      <c r="D1" s="1" t="s">
        <v>3</v>
      </c>
      <c r="E1" s="1" t="s">
        <v>4</v>
      </c>
      <c r="F1" s="1" t="s">
        <v>5</v>
      </c>
      <c r="G1" s="1" t="s">
        <v>6</v>
      </c>
      <c r="H1" s="1" t="s">
        <v>7</v>
      </c>
      <c r="I1" s="1" t="s">
        <v>8</v>
      </c>
    </row>
    <row r="2" spans="1:9" ht="50" x14ac:dyDescent="0.35">
      <c r="A2" s="2" t="s">
        <v>9</v>
      </c>
      <c r="B2" s="2" t="s">
        <v>10</v>
      </c>
      <c r="C2" s="2" t="s">
        <v>11</v>
      </c>
      <c r="D2" s="2" t="s">
        <v>12</v>
      </c>
      <c r="E2" s="2" t="s">
        <v>13</v>
      </c>
      <c r="F2" s="2" t="s">
        <v>14</v>
      </c>
      <c r="G2" s="2" t="s">
        <v>15</v>
      </c>
      <c r="H2" s="2" t="s">
        <v>16</v>
      </c>
      <c r="I2" s="2"/>
    </row>
    <row r="3" spans="1:9" ht="50" x14ac:dyDescent="0.35">
      <c r="A3" s="2" t="s">
        <v>9</v>
      </c>
      <c r="B3" s="2" t="s">
        <v>10</v>
      </c>
      <c r="C3" s="2" t="s">
        <v>17</v>
      </c>
      <c r="D3" s="2" t="s">
        <v>18</v>
      </c>
      <c r="E3" s="2" t="s">
        <v>19</v>
      </c>
      <c r="F3" s="2" t="s">
        <v>14</v>
      </c>
      <c r="G3" s="2" t="s">
        <v>15</v>
      </c>
      <c r="H3" s="2" t="s">
        <v>16</v>
      </c>
      <c r="I3" s="2"/>
    </row>
    <row r="4" spans="1:9" ht="50" x14ac:dyDescent="0.35">
      <c r="A4" s="3" t="s">
        <v>20</v>
      </c>
      <c r="B4" s="3" t="s">
        <v>10</v>
      </c>
      <c r="C4" s="3" t="s">
        <v>21</v>
      </c>
      <c r="D4" s="3" t="s">
        <v>12</v>
      </c>
      <c r="E4" s="3" t="s">
        <v>22</v>
      </c>
      <c r="F4" s="3" t="s">
        <v>12</v>
      </c>
      <c r="G4" s="3" t="s">
        <v>23</v>
      </c>
      <c r="H4" s="3" t="s">
        <v>24</v>
      </c>
      <c r="I4" s="3"/>
    </row>
    <row r="5" spans="1:9" ht="50" x14ac:dyDescent="0.35">
      <c r="A5" s="3" t="s">
        <v>20</v>
      </c>
      <c r="B5" s="3" t="s">
        <v>10</v>
      </c>
      <c r="C5" s="3" t="s">
        <v>25</v>
      </c>
      <c r="D5" s="3" t="s">
        <v>12</v>
      </c>
      <c r="E5" s="3" t="s">
        <v>26</v>
      </c>
      <c r="F5" s="3" t="s">
        <v>12</v>
      </c>
      <c r="G5" s="3" t="s">
        <v>23</v>
      </c>
      <c r="H5" s="3" t="s">
        <v>27</v>
      </c>
      <c r="I5" s="3"/>
    </row>
    <row r="6" spans="1:9" ht="50" x14ac:dyDescent="0.35">
      <c r="A6" s="2" t="s">
        <v>28</v>
      </c>
      <c r="B6" s="2" t="s">
        <v>10</v>
      </c>
      <c r="C6" s="2" t="s">
        <v>29</v>
      </c>
      <c r="D6" s="2" t="s">
        <v>30</v>
      </c>
      <c r="E6" s="2" t="s">
        <v>31</v>
      </c>
      <c r="F6" s="2" t="s">
        <v>32</v>
      </c>
      <c r="G6" s="2" t="s">
        <v>15</v>
      </c>
      <c r="H6" s="2" t="s">
        <v>24</v>
      </c>
      <c r="I6" s="2"/>
    </row>
    <row r="7" spans="1:9" ht="50" x14ac:dyDescent="0.35">
      <c r="A7" s="2" t="s">
        <v>28</v>
      </c>
      <c r="B7" s="2" t="s">
        <v>10</v>
      </c>
      <c r="C7" s="2" t="s">
        <v>33</v>
      </c>
      <c r="D7" s="2" t="s">
        <v>12</v>
      </c>
      <c r="E7" s="2" t="s">
        <v>34</v>
      </c>
      <c r="F7" s="2" t="s">
        <v>32</v>
      </c>
      <c r="G7" s="2" t="s">
        <v>15</v>
      </c>
      <c r="H7" s="2" t="s">
        <v>35</v>
      </c>
      <c r="I7" s="2"/>
    </row>
    <row r="8" spans="1:9" ht="50" x14ac:dyDescent="0.35">
      <c r="A8" s="3" t="s">
        <v>36</v>
      </c>
      <c r="B8" s="3" t="s">
        <v>10</v>
      </c>
      <c r="C8" s="3" t="s">
        <v>37</v>
      </c>
      <c r="D8" s="3" t="s">
        <v>38</v>
      </c>
      <c r="E8" s="3" t="s">
        <v>39</v>
      </c>
      <c r="F8" s="3" t="s">
        <v>38</v>
      </c>
      <c r="G8" s="3" t="s">
        <v>23</v>
      </c>
      <c r="H8" s="3" t="s">
        <v>27</v>
      </c>
      <c r="I8" s="3"/>
    </row>
    <row r="9" spans="1:9" ht="50" x14ac:dyDescent="0.35">
      <c r="A9" s="3" t="s">
        <v>36</v>
      </c>
      <c r="B9" s="3" t="s">
        <v>10</v>
      </c>
      <c r="C9" s="3" t="s">
        <v>40</v>
      </c>
      <c r="D9" s="3" t="s">
        <v>38</v>
      </c>
      <c r="E9" s="3" t="s">
        <v>41</v>
      </c>
      <c r="F9" s="3" t="s">
        <v>38</v>
      </c>
      <c r="G9" s="3" t="s">
        <v>23</v>
      </c>
      <c r="H9" s="3" t="s">
        <v>27</v>
      </c>
      <c r="I9" s="3"/>
    </row>
    <row r="10" spans="1:9" ht="50" x14ac:dyDescent="0.35">
      <c r="A10" s="2" t="s">
        <v>42</v>
      </c>
      <c r="B10" s="2" t="s">
        <v>10</v>
      </c>
      <c r="C10" s="2" t="s">
        <v>43</v>
      </c>
      <c r="D10" s="2" t="s">
        <v>38</v>
      </c>
      <c r="E10" s="2" t="s">
        <v>44</v>
      </c>
      <c r="F10" s="2" t="s">
        <v>38</v>
      </c>
      <c r="G10" s="2" t="s">
        <v>23</v>
      </c>
      <c r="H10" s="2" t="s">
        <v>27</v>
      </c>
      <c r="I10" s="2"/>
    </row>
    <row r="11" spans="1:9" ht="50" x14ac:dyDescent="0.35">
      <c r="A11" s="2" t="s">
        <v>42</v>
      </c>
      <c r="B11" s="2" t="s">
        <v>10</v>
      </c>
      <c r="C11" s="2" t="s">
        <v>45</v>
      </c>
      <c r="D11" s="2" t="s">
        <v>38</v>
      </c>
      <c r="E11" s="2" t="s">
        <v>46</v>
      </c>
      <c r="F11" s="2" t="s">
        <v>38</v>
      </c>
      <c r="G11" s="2" t="s">
        <v>23</v>
      </c>
      <c r="H11" s="2" t="s">
        <v>27</v>
      </c>
      <c r="I11" s="2"/>
    </row>
    <row r="12" spans="1:9" ht="28" customHeight="1" x14ac:dyDescent="0.35">
      <c r="A12" s="3" t="s">
        <v>47</v>
      </c>
      <c r="B12" s="3" t="s">
        <v>10</v>
      </c>
      <c r="C12" s="3" t="s">
        <v>48</v>
      </c>
      <c r="D12" s="3" t="s">
        <v>30</v>
      </c>
      <c r="E12" s="3" t="s">
        <v>49</v>
      </c>
      <c r="F12" s="3" t="s">
        <v>50</v>
      </c>
      <c r="G12" s="3" t="s">
        <v>15</v>
      </c>
      <c r="H12" s="3" t="s">
        <v>24</v>
      </c>
      <c r="I12" s="3"/>
    </row>
    <row r="13" spans="1:9" ht="28" customHeight="1" x14ac:dyDescent="0.35">
      <c r="A13" s="3" t="s">
        <v>47</v>
      </c>
      <c r="B13" s="3" t="s">
        <v>10</v>
      </c>
      <c r="C13" s="3" t="s">
        <v>51</v>
      </c>
      <c r="D13" s="3" t="s">
        <v>30</v>
      </c>
      <c r="E13" s="3" t="s">
        <v>52</v>
      </c>
      <c r="F13" s="3" t="s">
        <v>50</v>
      </c>
      <c r="G13" s="3" t="s">
        <v>15</v>
      </c>
      <c r="H13" s="3" t="s">
        <v>24</v>
      </c>
      <c r="I13" s="3"/>
    </row>
    <row r="14" spans="1:9" ht="28" customHeight="1" x14ac:dyDescent="0.35">
      <c r="A14" s="3" t="s">
        <v>47</v>
      </c>
      <c r="B14" s="3" t="s">
        <v>10</v>
      </c>
      <c r="C14" s="3" t="s">
        <v>53</v>
      </c>
      <c r="D14" s="3" t="s">
        <v>54</v>
      </c>
      <c r="E14" s="3" t="s">
        <v>55</v>
      </c>
      <c r="F14" s="3" t="s">
        <v>50</v>
      </c>
      <c r="G14" s="3" t="s">
        <v>15</v>
      </c>
      <c r="H14" s="3" t="s">
        <v>24</v>
      </c>
      <c r="I14" s="3"/>
    </row>
    <row r="15" spans="1:9" ht="28" customHeight="1" x14ac:dyDescent="0.35">
      <c r="A15" s="3" t="s">
        <v>47</v>
      </c>
      <c r="B15" s="3" t="s">
        <v>10</v>
      </c>
      <c r="C15" s="3" t="s">
        <v>56</v>
      </c>
      <c r="D15" s="3" t="s">
        <v>54</v>
      </c>
      <c r="E15" s="3" t="s">
        <v>57</v>
      </c>
      <c r="F15" s="3" t="s">
        <v>50</v>
      </c>
      <c r="G15" s="3" t="s">
        <v>15</v>
      </c>
      <c r="H15" s="3" t="s">
        <v>24</v>
      </c>
      <c r="I15" s="3"/>
    </row>
    <row r="16" spans="1:9" ht="28" customHeight="1" x14ac:dyDescent="0.35">
      <c r="A16" s="3" t="s">
        <v>47</v>
      </c>
      <c r="B16" s="3" t="s">
        <v>10</v>
      </c>
      <c r="C16" s="3" t="s">
        <v>58</v>
      </c>
      <c r="D16" s="3" t="s">
        <v>59</v>
      </c>
      <c r="E16" s="3" t="s">
        <v>60</v>
      </c>
      <c r="F16" s="3" t="s">
        <v>50</v>
      </c>
      <c r="G16" s="3" t="s">
        <v>15</v>
      </c>
      <c r="H16" s="3" t="s">
        <v>24</v>
      </c>
      <c r="I16" s="3"/>
    </row>
    <row r="17" spans="1:9" ht="50" x14ac:dyDescent="0.35">
      <c r="A17" s="2" t="s">
        <v>61</v>
      </c>
      <c r="B17" s="2" t="s">
        <v>10</v>
      </c>
      <c r="C17" s="2" t="s">
        <v>62</v>
      </c>
      <c r="D17" s="2" t="s">
        <v>12</v>
      </c>
      <c r="E17" s="2" t="s">
        <v>63</v>
      </c>
      <c r="F17" s="2" t="s">
        <v>12</v>
      </c>
      <c r="G17" s="2" t="s">
        <v>23</v>
      </c>
      <c r="H17" s="2" t="s">
        <v>35</v>
      </c>
      <c r="I17" s="2"/>
    </row>
    <row r="18" spans="1:9" ht="50" x14ac:dyDescent="0.35">
      <c r="A18" s="2" t="s">
        <v>61</v>
      </c>
      <c r="B18" s="2" t="s">
        <v>10</v>
      </c>
      <c r="C18" s="2" t="s">
        <v>64</v>
      </c>
      <c r="D18" s="2" t="s">
        <v>12</v>
      </c>
      <c r="E18" s="2" t="s">
        <v>65</v>
      </c>
      <c r="F18" s="2" t="s">
        <v>12</v>
      </c>
      <c r="G18" s="2" t="s">
        <v>23</v>
      </c>
      <c r="H18" s="2" t="s">
        <v>35</v>
      </c>
      <c r="I18" s="2"/>
    </row>
    <row r="19" spans="1:9" ht="50" x14ac:dyDescent="0.35">
      <c r="A19" s="3" t="s">
        <v>66</v>
      </c>
      <c r="B19" s="3" t="s">
        <v>10</v>
      </c>
      <c r="C19" s="3" t="s">
        <v>67</v>
      </c>
      <c r="D19" s="3" t="s">
        <v>12</v>
      </c>
      <c r="E19" s="3" t="s">
        <v>68</v>
      </c>
      <c r="F19" s="3" t="s">
        <v>12</v>
      </c>
      <c r="G19" s="3" t="s">
        <v>23</v>
      </c>
      <c r="H19" s="3" t="s">
        <v>69</v>
      </c>
      <c r="I19" s="3"/>
    </row>
    <row r="20" spans="1:9" ht="50" x14ac:dyDescent="0.35">
      <c r="A20" s="3" t="s">
        <v>66</v>
      </c>
      <c r="B20" s="3" t="s">
        <v>10</v>
      </c>
      <c r="C20" s="3" t="s">
        <v>70</v>
      </c>
      <c r="D20" s="3" t="s">
        <v>12</v>
      </c>
      <c r="E20" s="3" t="s">
        <v>71</v>
      </c>
      <c r="F20" s="3" t="s">
        <v>12</v>
      </c>
      <c r="G20" s="3" t="s">
        <v>23</v>
      </c>
      <c r="H20" s="3" t="s">
        <v>69</v>
      </c>
      <c r="I20" s="3"/>
    </row>
    <row r="21" spans="1:9" ht="50" x14ac:dyDescent="0.35">
      <c r="A21" s="2" t="s">
        <v>72</v>
      </c>
      <c r="B21" s="2" t="s">
        <v>10</v>
      </c>
      <c r="C21" s="2" t="s">
        <v>73</v>
      </c>
      <c r="D21" s="2" t="s">
        <v>12</v>
      </c>
      <c r="E21" s="2" t="s">
        <v>74</v>
      </c>
      <c r="F21" s="2" t="s">
        <v>12</v>
      </c>
      <c r="G21" s="2" t="s">
        <v>23</v>
      </c>
      <c r="H21" s="2" t="s">
        <v>69</v>
      </c>
      <c r="I21" s="2"/>
    </row>
    <row r="22" spans="1:9" ht="50" x14ac:dyDescent="0.35">
      <c r="A22" s="2" t="s">
        <v>72</v>
      </c>
      <c r="B22" s="2" t="s">
        <v>10</v>
      </c>
      <c r="C22" s="2" t="s">
        <v>75</v>
      </c>
      <c r="D22" s="2" t="s">
        <v>12</v>
      </c>
      <c r="E22" s="2" t="s">
        <v>63</v>
      </c>
      <c r="F22" s="2" t="s">
        <v>12</v>
      </c>
      <c r="G22" s="2" t="s">
        <v>23</v>
      </c>
      <c r="H22" s="2" t="s">
        <v>69</v>
      </c>
      <c r="I22" s="2"/>
    </row>
    <row r="23" spans="1:9" ht="50" x14ac:dyDescent="0.35">
      <c r="A23" s="2" t="s">
        <v>72</v>
      </c>
      <c r="B23" s="2" t="s">
        <v>10</v>
      </c>
      <c r="C23" s="2" t="s">
        <v>76</v>
      </c>
      <c r="D23" s="2" t="s">
        <v>12</v>
      </c>
      <c r="E23" s="2" t="s">
        <v>77</v>
      </c>
      <c r="F23" s="2" t="s">
        <v>12</v>
      </c>
      <c r="G23" s="2" t="s">
        <v>23</v>
      </c>
      <c r="H23" s="2" t="s">
        <v>69</v>
      </c>
      <c r="I23" s="2"/>
    </row>
    <row r="24" spans="1:9" ht="50" x14ac:dyDescent="0.35">
      <c r="A24" s="3" t="s">
        <v>78</v>
      </c>
      <c r="B24" s="3" t="s">
        <v>10</v>
      </c>
      <c r="C24" s="3" t="s">
        <v>79</v>
      </c>
      <c r="D24" s="3" t="s">
        <v>12</v>
      </c>
      <c r="E24" s="3" t="s">
        <v>80</v>
      </c>
      <c r="F24" s="3" t="s">
        <v>12</v>
      </c>
      <c r="G24" s="3" t="s">
        <v>23</v>
      </c>
      <c r="H24" s="3" t="s">
        <v>35</v>
      </c>
      <c r="I24" s="3"/>
    </row>
    <row r="25" spans="1:9" ht="50" x14ac:dyDescent="0.35">
      <c r="A25" s="3" t="s">
        <v>78</v>
      </c>
      <c r="B25" s="3" t="s">
        <v>10</v>
      </c>
      <c r="C25" s="3" t="s">
        <v>81</v>
      </c>
      <c r="D25" s="3" t="s">
        <v>12</v>
      </c>
      <c r="E25" s="3" t="s">
        <v>82</v>
      </c>
      <c r="F25" s="3" t="s">
        <v>12</v>
      </c>
      <c r="G25" s="3" t="s">
        <v>23</v>
      </c>
      <c r="H25" s="3" t="s">
        <v>35</v>
      </c>
      <c r="I25" s="3"/>
    </row>
    <row r="26" spans="1:9" ht="50" x14ac:dyDescent="0.35">
      <c r="A26" s="2" t="s">
        <v>83</v>
      </c>
      <c r="B26" s="2" t="s">
        <v>10</v>
      </c>
      <c r="C26" s="2" t="s">
        <v>84</v>
      </c>
      <c r="D26" s="2" t="s">
        <v>38</v>
      </c>
      <c r="E26" s="2" t="s">
        <v>85</v>
      </c>
      <c r="F26" s="2" t="s">
        <v>86</v>
      </c>
      <c r="G26" s="2" t="s">
        <v>15</v>
      </c>
      <c r="H26" s="2" t="s">
        <v>87</v>
      </c>
      <c r="I26" s="2"/>
    </row>
    <row r="27" spans="1:9" ht="50" x14ac:dyDescent="0.35">
      <c r="A27" s="2" t="s">
        <v>83</v>
      </c>
      <c r="B27" s="2" t="s">
        <v>10</v>
      </c>
      <c r="C27" s="2" t="s">
        <v>88</v>
      </c>
      <c r="D27" s="2" t="s">
        <v>12</v>
      </c>
      <c r="E27" s="2" t="s">
        <v>26</v>
      </c>
      <c r="F27" s="2" t="s">
        <v>86</v>
      </c>
      <c r="G27" s="2" t="s">
        <v>15</v>
      </c>
      <c r="H27" s="2" t="s">
        <v>87</v>
      </c>
      <c r="I27" s="2"/>
    </row>
    <row r="28" spans="1:9" ht="50" x14ac:dyDescent="0.35">
      <c r="A28" s="3" t="s">
        <v>89</v>
      </c>
      <c r="B28" s="3" t="s">
        <v>10</v>
      </c>
      <c r="C28" s="3" t="s">
        <v>90</v>
      </c>
      <c r="D28" s="3" t="s">
        <v>91</v>
      </c>
      <c r="E28" s="3" t="s">
        <v>92</v>
      </c>
      <c r="F28" s="3" t="s">
        <v>91</v>
      </c>
      <c r="G28" s="3" t="s">
        <v>23</v>
      </c>
      <c r="H28" s="3" t="s">
        <v>69</v>
      </c>
      <c r="I28" s="3"/>
    </row>
    <row r="29" spans="1:9" ht="50" x14ac:dyDescent="0.35">
      <c r="A29" s="3" t="s">
        <v>89</v>
      </c>
      <c r="B29" s="3" t="s">
        <v>10</v>
      </c>
      <c r="C29" s="3" t="s">
        <v>93</v>
      </c>
      <c r="D29" s="3" t="s">
        <v>91</v>
      </c>
      <c r="E29" s="3" t="s">
        <v>94</v>
      </c>
      <c r="F29" s="3" t="s">
        <v>91</v>
      </c>
      <c r="G29" s="3" t="s">
        <v>23</v>
      </c>
      <c r="H29" s="3" t="s">
        <v>69</v>
      </c>
      <c r="I29" s="3"/>
    </row>
    <row r="30" spans="1:9" ht="50" x14ac:dyDescent="0.35">
      <c r="A30" s="2" t="s">
        <v>95</v>
      </c>
      <c r="B30" s="2" t="s">
        <v>10</v>
      </c>
      <c r="C30" s="2" t="s">
        <v>96</v>
      </c>
      <c r="D30" s="2" t="s">
        <v>12</v>
      </c>
      <c r="E30" s="2" t="s">
        <v>97</v>
      </c>
      <c r="F30" s="2" t="s">
        <v>12</v>
      </c>
      <c r="G30" s="2" t="s">
        <v>23</v>
      </c>
      <c r="H30" s="2" t="s">
        <v>24</v>
      </c>
      <c r="I30" s="2"/>
    </row>
    <row r="31" spans="1:9" ht="50" x14ac:dyDescent="0.35">
      <c r="A31" s="2" t="s">
        <v>95</v>
      </c>
      <c r="B31" s="2" t="s">
        <v>10</v>
      </c>
      <c r="C31" s="2" t="s">
        <v>98</v>
      </c>
      <c r="D31" s="2" t="s">
        <v>12</v>
      </c>
      <c r="E31" s="2" t="s">
        <v>63</v>
      </c>
      <c r="F31" s="2" t="s">
        <v>12</v>
      </c>
      <c r="G31" s="2" t="s">
        <v>23</v>
      </c>
      <c r="H31" s="2" t="s">
        <v>24</v>
      </c>
      <c r="I31" s="2"/>
    </row>
    <row r="32" spans="1:9" s="8" customFormat="1" ht="50" x14ac:dyDescent="0.35">
      <c r="A32" s="7" t="s">
        <v>99</v>
      </c>
      <c r="B32" s="7" t="s">
        <v>10</v>
      </c>
      <c r="C32" s="7" t="s">
        <v>100</v>
      </c>
      <c r="D32" s="7" t="s">
        <v>91</v>
      </c>
      <c r="E32" s="7" t="s">
        <v>101</v>
      </c>
      <c r="F32" s="7" t="s">
        <v>91</v>
      </c>
      <c r="G32" s="7" t="s">
        <v>23</v>
      </c>
      <c r="H32" s="7" t="s">
        <v>69</v>
      </c>
      <c r="I32" s="7"/>
    </row>
    <row r="33" spans="1:9" s="8" customFormat="1" ht="50" x14ac:dyDescent="0.35">
      <c r="A33" s="7" t="s">
        <v>99</v>
      </c>
      <c r="B33" s="7" t="s">
        <v>10</v>
      </c>
      <c r="C33" s="7" t="s">
        <v>102</v>
      </c>
      <c r="D33" s="7" t="s">
        <v>91</v>
      </c>
      <c r="E33" s="7" t="s">
        <v>103</v>
      </c>
      <c r="F33" s="7" t="s">
        <v>91</v>
      </c>
      <c r="G33" s="7" t="s">
        <v>23</v>
      </c>
      <c r="H33" s="7" t="s">
        <v>27</v>
      </c>
      <c r="I33" s="7"/>
    </row>
    <row r="34" spans="1:9" ht="50" x14ac:dyDescent="0.35">
      <c r="A34" s="2" t="s">
        <v>104</v>
      </c>
      <c r="B34" s="2" t="s">
        <v>10</v>
      </c>
      <c r="C34" s="2" t="s">
        <v>105</v>
      </c>
      <c r="D34" s="2" t="s">
        <v>38</v>
      </c>
      <c r="E34" s="2" t="s">
        <v>106</v>
      </c>
      <c r="F34" s="2" t="s">
        <v>38</v>
      </c>
      <c r="G34" s="2" t="s">
        <v>23</v>
      </c>
      <c r="H34" s="2" t="s">
        <v>27</v>
      </c>
      <c r="I34" s="2"/>
    </row>
    <row r="35" spans="1:9" ht="50" x14ac:dyDescent="0.35">
      <c r="A35" s="2" t="s">
        <v>104</v>
      </c>
      <c r="B35" s="2" t="s">
        <v>10</v>
      </c>
      <c r="C35" s="2" t="s">
        <v>107</v>
      </c>
      <c r="D35" s="2" t="s">
        <v>38</v>
      </c>
      <c r="E35" s="2" t="s">
        <v>108</v>
      </c>
      <c r="F35" s="2" t="s">
        <v>38</v>
      </c>
      <c r="G35" s="2" t="s">
        <v>23</v>
      </c>
      <c r="H35" s="2" t="s">
        <v>27</v>
      </c>
      <c r="I35" s="2"/>
    </row>
    <row r="36" spans="1:9" ht="50" x14ac:dyDescent="0.35">
      <c r="A36" s="2" t="s">
        <v>104</v>
      </c>
      <c r="B36" s="2" t="s">
        <v>10</v>
      </c>
      <c r="C36" s="2" t="s">
        <v>109</v>
      </c>
      <c r="D36" s="2" t="s">
        <v>38</v>
      </c>
      <c r="E36" s="2" t="s">
        <v>110</v>
      </c>
      <c r="F36" s="2" t="s">
        <v>38</v>
      </c>
      <c r="G36" s="2" t="s">
        <v>23</v>
      </c>
      <c r="H36" s="2" t="s">
        <v>27</v>
      </c>
      <c r="I36" s="2"/>
    </row>
    <row r="37" spans="1:9" ht="50" x14ac:dyDescent="0.35">
      <c r="A37" s="3" t="s">
        <v>111</v>
      </c>
      <c r="B37" s="3" t="s">
        <v>10</v>
      </c>
      <c r="C37" s="3" t="s">
        <v>112</v>
      </c>
      <c r="D37" s="3" t="s">
        <v>91</v>
      </c>
      <c r="E37" s="3" t="s">
        <v>113</v>
      </c>
      <c r="F37" s="3" t="s">
        <v>114</v>
      </c>
      <c r="G37" s="3" t="s">
        <v>15</v>
      </c>
      <c r="H37" s="3" t="s">
        <v>69</v>
      </c>
      <c r="I37" s="3"/>
    </row>
    <row r="38" spans="1:9" ht="50" x14ac:dyDescent="0.35">
      <c r="A38" s="3" t="s">
        <v>111</v>
      </c>
      <c r="B38" s="3" t="s">
        <v>10</v>
      </c>
      <c r="C38" s="3" t="s">
        <v>115</v>
      </c>
      <c r="D38" s="3" t="s">
        <v>116</v>
      </c>
      <c r="E38" s="3" t="s">
        <v>117</v>
      </c>
      <c r="F38" s="3" t="s">
        <v>114</v>
      </c>
      <c r="G38" s="3" t="s">
        <v>15</v>
      </c>
      <c r="H38" s="3" t="s">
        <v>69</v>
      </c>
      <c r="I38" s="3"/>
    </row>
    <row r="39" spans="1:9" ht="50" x14ac:dyDescent="0.35">
      <c r="A39" s="2" t="s">
        <v>118</v>
      </c>
      <c r="B39" s="2" t="s">
        <v>10</v>
      </c>
      <c r="C39" s="2" t="s">
        <v>119</v>
      </c>
      <c r="D39" s="2" t="s">
        <v>38</v>
      </c>
      <c r="E39" s="2" t="s">
        <v>120</v>
      </c>
      <c r="F39" s="2" t="s">
        <v>38</v>
      </c>
      <c r="G39" s="2" t="s">
        <v>23</v>
      </c>
      <c r="H39" s="2" t="s">
        <v>27</v>
      </c>
      <c r="I39" s="2"/>
    </row>
    <row r="40" spans="1:9" ht="50" x14ac:dyDescent="0.35">
      <c r="A40" s="2" t="s">
        <v>118</v>
      </c>
      <c r="B40" s="2" t="s">
        <v>10</v>
      </c>
      <c r="C40" s="2" t="s">
        <v>121</v>
      </c>
      <c r="D40" s="2" t="s">
        <v>38</v>
      </c>
      <c r="E40" s="2" t="s">
        <v>122</v>
      </c>
      <c r="F40" s="2" t="s">
        <v>38</v>
      </c>
      <c r="G40" s="2" t="s">
        <v>23</v>
      </c>
      <c r="H40" s="2" t="s">
        <v>27</v>
      </c>
      <c r="I40" s="2"/>
    </row>
    <row r="41" spans="1:9" ht="50" x14ac:dyDescent="0.35">
      <c r="A41" s="3" t="s">
        <v>123</v>
      </c>
      <c r="B41" s="3" t="s">
        <v>10</v>
      </c>
      <c r="C41" s="3" t="s">
        <v>124</v>
      </c>
      <c r="D41" s="3" t="s">
        <v>12</v>
      </c>
      <c r="E41" s="3" t="s">
        <v>125</v>
      </c>
      <c r="F41" s="3" t="s">
        <v>14</v>
      </c>
      <c r="G41" s="3" t="s">
        <v>23</v>
      </c>
      <c r="H41" s="3" t="s">
        <v>27</v>
      </c>
      <c r="I41" s="3"/>
    </row>
    <row r="42" spans="1:9" ht="50" x14ac:dyDescent="0.35">
      <c r="A42" s="3" t="s">
        <v>123</v>
      </c>
      <c r="B42" s="3" t="s">
        <v>10</v>
      </c>
      <c r="C42" s="3" t="s">
        <v>126</v>
      </c>
      <c r="D42" s="3" t="s">
        <v>59</v>
      </c>
      <c r="E42" s="3" t="s">
        <v>127</v>
      </c>
      <c r="F42" s="3" t="s">
        <v>14</v>
      </c>
      <c r="G42" s="3" t="s">
        <v>23</v>
      </c>
      <c r="H42" s="3" t="s">
        <v>27</v>
      </c>
      <c r="I42" s="3"/>
    </row>
    <row r="43" spans="1:9" ht="50" x14ac:dyDescent="0.35">
      <c r="A43" s="2" t="s">
        <v>128</v>
      </c>
      <c r="B43" s="2" t="s">
        <v>10</v>
      </c>
      <c r="C43" s="2" t="s">
        <v>129</v>
      </c>
      <c r="D43" s="2" t="s">
        <v>91</v>
      </c>
      <c r="E43" s="2" t="s">
        <v>130</v>
      </c>
      <c r="F43" s="2" t="s">
        <v>131</v>
      </c>
      <c r="G43" s="2" t="s">
        <v>15</v>
      </c>
      <c r="H43" s="2" t="s">
        <v>132</v>
      </c>
      <c r="I43" s="2"/>
    </row>
    <row r="44" spans="1:9" ht="50" x14ac:dyDescent="0.35">
      <c r="A44" s="2" t="s">
        <v>128</v>
      </c>
      <c r="B44" s="2" t="s">
        <v>10</v>
      </c>
      <c r="C44" s="2" t="s">
        <v>133</v>
      </c>
      <c r="D44" s="2" t="s">
        <v>59</v>
      </c>
      <c r="E44" s="2" t="s">
        <v>134</v>
      </c>
      <c r="F44" s="2" t="s">
        <v>131</v>
      </c>
      <c r="G44" s="2" t="s">
        <v>15</v>
      </c>
      <c r="H44" s="2" t="s">
        <v>132</v>
      </c>
      <c r="I44" s="2"/>
    </row>
    <row r="45" spans="1:9" ht="50" x14ac:dyDescent="0.35">
      <c r="A45" s="2" t="s">
        <v>128</v>
      </c>
      <c r="B45" s="2" t="s">
        <v>10</v>
      </c>
      <c r="C45" s="2" t="s">
        <v>135</v>
      </c>
      <c r="D45" s="2" t="s">
        <v>91</v>
      </c>
      <c r="E45" s="2" t="s">
        <v>136</v>
      </c>
      <c r="F45" s="2" t="s">
        <v>131</v>
      </c>
      <c r="G45" s="2" t="s">
        <v>15</v>
      </c>
      <c r="H45" s="2" t="s">
        <v>132</v>
      </c>
      <c r="I45" s="2"/>
    </row>
    <row r="46" spans="1:9" ht="50" x14ac:dyDescent="0.35">
      <c r="A46" s="2" t="s">
        <v>128</v>
      </c>
      <c r="B46" s="2" t="s">
        <v>10</v>
      </c>
      <c r="C46" s="2" t="s">
        <v>137</v>
      </c>
      <c r="D46" s="2" t="s">
        <v>138</v>
      </c>
      <c r="E46" s="2" t="s">
        <v>139</v>
      </c>
      <c r="F46" s="2" t="s">
        <v>131</v>
      </c>
      <c r="G46" s="2" t="s">
        <v>15</v>
      </c>
      <c r="H46" s="2" t="s">
        <v>132</v>
      </c>
      <c r="I46" s="2"/>
    </row>
    <row r="47" spans="1:9" ht="50" x14ac:dyDescent="0.35">
      <c r="A47" s="3" t="s">
        <v>140</v>
      </c>
      <c r="B47" s="3" t="s">
        <v>10</v>
      </c>
      <c r="C47" s="3" t="s">
        <v>141</v>
      </c>
      <c r="D47" s="3" t="s">
        <v>12</v>
      </c>
      <c r="E47" s="3" t="s">
        <v>142</v>
      </c>
      <c r="F47" s="3" t="s">
        <v>12</v>
      </c>
      <c r="G47" s="3" t="s">
        <v>23</v>
      </c>
      <c r="H47" s="3" t="s">
        <v>69</v>
      </c>
      <c r="I47" s="3"/>
    </row>
    <row r="48" spans="1:9" ht="50" x14ac:dyDescent="0.35">
      <c r="A48" s="3" t="s">
        <v>140</v>
      </c>
      <c r="B48" s="3" t="s">
        <v>10</v>
      </c>
      <c r="C48" s="3" t="s">
        <v>143</v>
      </c>
      <c r="D48" s="3" t="s">
        <v>12</v>
      </c>
      <c r="E48" s="3" t="s">
        <v>144</v>
      </c>
      <c r="F48" s="3" t="s">
        <v>12</v>
      </c>
      <c r="G48" s="3" t="s">
        <v>23</v>
      </c>
      <c r="H48" s="3" t="s">
        <v>69</v>
      </c>
      <c r="I48" s="3"/>
    </row>
    <row r="49" spans="1:9" ht="50" x14ac:dyDescent="0.35">
      <c r="A49" s="2" t="s">
        <v>145</v>
      </c>
      <c r="B49" s="2" t="s">
        <v>10</v>
      </c>
      <c r="C49" s="2" t="s">
        <v>146</v>
      </c>
      <c r="D49" s="2" t="s">
        <v>30</v>
      </c>
      <c r="E49" s="2" t="s">
        <v>147</v>
      </c>
      <c r="F49" s="2" t="s">
        <v>148</v>
      </c>
      <c r="G49" s="2" t="s">
        <v>15</v>
      </c>
      <c r="H49" s="2" t="s">
        <v>24</v>
      </c>
      <c r="I49" s="2"/>
    </row>
    <row r="50" spans="1:9" ht="50" x14ac:dyDescent="0.35">
      <c r="A50" s="2" t="s">
        <v>145</v>
      </c>
      <c r="B50" s="2" t="s">
        <v>10</v>
      </c>
      <c r="C50" s="2" t="s">
        <v>149</v>
      </c>
      <c r="D50" s="2" t="s">
        <v>30</v>
      </c>
      <c r="E50" s="2" t="s">
        <v>49</v>
      </c>
      <c r="F50" s="2" t="s">
        <v>148</v>
      </c>
      <c r="G50" s="2" t="s">
        <v>15</v>
      </c>
      <c r="H50" s="2" t="s">
        <v>24</v>
      </c>
      <c r="I50" s="2"/>
    </row>
    <row r="51" spans="1:9" ht="50" x14ac:dyDescent="0.35">
      <c r="A51" s="2" t="s">
        <v>145</v>
      </c>
      <c r="B51" s="2" t="s">
        <v>10</v>
      </c>
      <c r="C51" s="2" t="s">
        <v>150</v>
      </c>
      <c r="D51" s="2" t="s">
        <v>38</v>
      </c>
      <c r="E51" s="2" t="s">
        <v>151</v>
      </c>
      <c r="F51" s="2" t="s">
        <v>148</v>
      </c>
      <c r="G51" s="2" t="s">
        <v>15</v>
      </c>
      <c r="H51" s="2" t="s">
        <v>24</v>
      </c>
      <c r="I51" s="2"/>
    </row>
    <row r="52" spans="1:9" ht="50" x14ac:dyDescent="0.35">
      <c r="A52" s="3" t="s">
        <v>152</v>
      </c>
      <c r="B52" s="3" t="s">
        <v>10</v>
      </c>
      <c r="C52" s="3" t="s">
        <v>153</v>
      </c>
      <c r="D52" s="3" t="s">
        <v>12</v>
      </c>
      <c r="E52" s="3" t="s">
        <v>154</v>
      </c>
      <c r="F52" s="3" t="s">
        <v>12</v>
      </c>
      <c r="G52" s="3" t="s">
        <v>23</v>
      </c>
      <c r="H52" s="3" t="s">
        <v>27</v>
      </c>
      <c r="I52" s="3"/>
    </row>
    <row r="53" spans="1:9" ht="50" x14ac:dyDescent="0.35">
      <c r="A53" s="3" t="s">
        <v>152</v>
      </c>
      <c r="B53" s="3" t="s">
        <v>10</v>
      </c>
      <c r="C53" s="3" t="s">
        <v>155</v>
      </c>
      <c r="D53" s="3" t="s">
        <v>12</v>
      </c>
      <c r="E53" s="3" t="s">
        <v>63</v>
      </c>
      <c r="F53" s="3" t="s">
        <v>12</v>
      </c>
      <c r="G53" s="3" t="s">
        <v>23</v>
      </c>
      <c r="H53" s="3" t="s">
        <v>27</v>
      </c>
      <c r="I53" s="3"/>
    </row>
    <row r="54" spans="1:9" ht="50" x14ac:dyDescent="0.35">
      <c r="A54" s="2" t="s">
        <v>156</v>
      </c>
      <c r="B54" s="2" t="s">
        <v>10</v>
      </c>
      <c r="C54" s="2" t="s">
        <v>157</v>
      </c>
      <c r="D54" s="2" t="s">
        <v>12</v>
      </c>
      <c r="E54" s="2" t="s">
        <v>158</v>
      </c>
      <c r="F54" s="2" t="s">
        <v>12</v>
      </c>
      <c r="G54" s="2" t="s">
        <v>23</v>
      </c>
      <c r="H54" s="2" t="s">
        <v>27</v>
      </c>
      <c r="I54" s="2"/>
    </row>
    <row r="55" spans="1:9" ht="50" x14ac:dyDescent="0.35">
      <c r="A55" s="2" t="s">
        <v>156</v>
      </c>
      <c r="B55" s="2" t="s">
        <v>10</v>
      </c>
      <c r="C55" s="2" t="s">
        <v>159</v>
      </c>
      <c r="D55" s="2" t="s">
        <v>12</v>
      </c>
      <c r="E55" s="2" t="s">
        <v>160</v>
      </c>
      <c r="F55" s="2" t="s">
        <v>12</v>
      </c>
      <c r="G55" s="2" t="s">
        <v>23</v>
      </c>
      <c r="H55" s="2" t="s">
        <v>27</v>
      </c>
      <c r="I55" s="2"/>
    </row>
    <row r="56" spans="1:9" ht="50" x14ac:dyDescent="0.35">
      <c r="A56" s="3" t="s">
        <v>161</v>
      </c>
      <c r="B56" s="3" t="s">
        <v>10</v>
      </c>
      <c r="C56" s="3" t="s">
        <v>162</v>
      </c>
      <c r="D56" s="3" t="s">
        <v>12</v>
      </c>
      <c r="E56" s="3" t="s">
        <v>163</v>
      </c>
      <c r="F56" s="3" t="s">
        <v>12</v>
      </c>
      <c r="G56" s="3" t="s">
        <v>23</v>
      </c>
      <c r="H56" s="3" t="s">
        <v>69</v>
      </c>
      <c r="I56" s="3"/>
    </row>
    <row r="57" spans="1:9" ht="50" x14ac:dyDescent="0.35">
      <c r="A57" s="3" t="s">
        <v>161</v>
      </c>
      <c r="B57" s="3" t="s">
        <v>10</v>
      </c>
      <c r="C57" s="3" t="s">
        <v>164</v>
      </c>
      <c r="D57" s="3" t="s">
        <v>12</v>
      </c>
      <c r="E57" s="3" t="s">
        <v>165</v>
      </c>
      <c r="F57" s="3" t="s">
        <v>12</v>
      </c>
      <c r="G57" s="3" t="s">
        <v>23</v>
      </c>
      <c r="H57" s="3" t="s">
        <v>69</v>
      </c>
      <c r="I57" s="3"/>
    </row>
    <row r="58" spans="1:9" ht="50" x14ac:dyDescent="0.35">
      <c r="A58" s="2" t="s">
        <v>166</v>
      </c>
      <c r="B58" s="2" t="s">
        <v>10</v>
      </c>
      <c r="C58" s="2" t="s">
        <v>167</v>
      </c>
      <c r="D58" s="2" t="s">
        <v>168</v>
      </c>
      <c r="E58" s="2" t="s">
        <v>169</v>
      </c>
      <c r="F58" s="2" t="s">
        <v>170</v>
      </c>
      <c r="G58" s="2" t="s">
        <v>23</v>
      </c>
      <c r="H58" s="2" t="s">
        <v>24</v>
      </c>
      <c r="I58" s="2"/>
    </row>
    <row r="59" spans="1:9" ht="50" x14ac:dyDescent="0.35">
      <c r="A59" s="2" t="s">
        <v>166</v>
      </c>
      <c r="B59" s="2" t="s">
        <v>10</v>
      </c>
      <c r="C59" s="2" t="s">
        <v>171</v>
      </c>
      <c r="D59" s="2" t="s">
        <v>12</v>
      </c>
      <c r="E59" s="2" t="s">
        <v>172</v>
      </c>
      <c r="F59" s="2" t="s">
        <v>170</v>
      </c>
      <c r="G59" s="2" t="s">
        <v>23</v>
      </c>
      <c r="H59" s="2" t="s">
        <v>24</v>
      </c>
      <c r="I59" s="2"/>
    </row>
    <row r="60" spans="1:9" ht="50" x14ac:dyDescent="0.35">
      <c r="A60" s="3" t="s">
        <v>173</v>
      </c>
      <c r="B60" s="3" t="s">
        <v>10</v>
      </c>
      <c r="C60" s="3" t="s">
        <v>174</v>
      </c>
      <c r="D60" s="3" t="s">
        <v>30</v>
      </c>
      <c r="E60" s="3" t="s">
        <v>175</v>
      </c>
      <c r="F60" s="3" t="s">
        <v>176</v>
      </c>
      <c r="G60" s="3" t="s">
        <v>23</v>
      </c>
      <c r="H60" s="3" t="s">
        <v>87</v>
      </c>
      <c r="I60" s="3"/>
    </row>
    <row r="61" spans="1:9" ht="50" x14ac:dyDescent="0.35">
      <c r="A61" s="3" t="s">
        <v>173</v>
      </c>
      <c r="B61" s="3" t="s">
        <v>10</v>
      </c>
      <c r="C61" s="3" t="s">
        <v>177</v>
      </c>
      <c r="D61" s="3" t="s">
        <v>178</v>
      </c>
      <c r="E61" s="3" t="s">
        <v>179</v>
      </c>
      <c r="F61" s="3" t="s">
        <v>176</v>
      </c>
      <c r="G61" s="3" t="s">
        <v>23</v>
      </c>
      <c r="H61" s="3" t="s">
        <v>27</v>
      </c>
      <c r="I61" s="3"/>
    </row>
    <row r="62" spans="1:9" ht="50" x14ac:dyDescent="0.35">
      <c r="A62" s="3" t="s">
        <v>173</v>
      </c>
      <c r="B62" s="3" t="s">
        <v>10</v>
      </c>
      <c r="C62" s="3" t="s">
        <v>180</v>
      </c>
      <c r="D62" s="3" t="s">
        <v>181</v>
      </c>
      <c r="E62" s="3" t="s">
        <v>182</v>
      </c>
      <c r="F62" s="3" t="s">
        <v>176</v>
      </c>
      <c r="G62" s="3" t="s">
        <v>23</v>
      </c>
      <c r="H62" s="3" t="s">
        <v>27</v>
      </c>
      <c r="I62" s="3"/>
    </row>
    <row r="63" spans="1:9" ht="50" x14ac:dyDescent="0.35">
      <c r="A63" s="2" t="s">
        <v>183</v>
      </c>
      <c r="B63" s="2" t="s">
        <v>10</v>
      </c>
      <c r="C63" s="2" t="s">
        <v>184</v>
      </c>
      <c r="D63" s="2" t="s">
        <v>12</v>
      </c>
      <c r="E63" s="2" t="s">
        <v>185</v>
      </c>
      <c r="F63" s="2" t="s">
        <v>12</v>
      </c>
      <c r="G63" s="2" t="s">
        <v>23</v>
      </c>
      <c r="H63" s="2" t="s">
        <v>132</v>
      </c>
      <c r="I63" s="2"/>
    </row>
    <row r="64" spans="1:9" ht="50" x14ac:dyDescent="0.35">
      <c r="A64" s="2" t="s">
        <v>183</v>
      </c>
      <c r="B64" s="2" t="s">
        <v>10</v>
      </c>
      <c r="C64" s="2" t="s">
        <v>186</v>
      </c>
      <c r="D64" s="2" t="s">
        <v>12</v>
      </c>
      <c r="E64" s="2" t="s">
        <v>187</v>
      </c>
      <c r="F64" s="2" t="s">
        <v>12</v>
      </c>
      <c r="G64" s="2" t="s">
        <v>23</v>
      </c>
      <c r="H64" s="2" t="s">
        <v>132</v>
      </c>
      <c r="I64" s="2"/>
    </row>
    <row r="65" spans="1:9" ht="50" x14ac:dyDescent="0.35">
      <c r="A65" s="3" t="s">
        <v>188</v>
      </c>
      <c r="B65" s="3" t="s">
        <v>10</v>
      </c>
      <c r="C65" s="3" t="s">
        <v>189</v>
      </c>
      <c r="D65" s="3" t="s">
        <v>12</v>
      </c>
      <c r="E65" s="3" t="s">
        <v>185</v>
      </c>
      <c r="F65" s="3" t="s">
        <v>12</v>
      </c>
      <c r="G65" s="3" t="s">
        <v>23</v>
      </c>
      <c r="H65" s="3" t="s">
        <v>132</v>
      </c>
      <c r="I65" s="3"/>
    </row>
    <row r="66" spans="1:9" ht="50" x14ac:dyDescent="0.35">
      <c r="A66" s="3" t="s">
        <v>188</v>
      </c>
      <c r="B66" s="3" t="s">
        <v>10</v>
      </c>
      <c r="C66" s="3" t="s">
        <v>190</v>
      </c>
      <c r="D66" s="3" t="s">
        <v>12</v>
      </c>
      <c r="E66" s="3" t="s">
        <v>191</v>
      </c>
      <c r="F66" s="3" t="s">
        <v>12</v>
      </c>
      <c r="G66" s="3" t="s">
        <v>23</v>
      </c>
      <c r="H66" s="3" t="s">
        <v>132</v>
      </c>
      <c r="I66" s="3"/>
    </row>
    <row r="67" spans="1:9" ht="50" x14ac:dyDescent="0.35">
      <c r="A67" s="2" t="s">
        <v>192</v>
      </c>
      <c r="B67" s="2" t="s">
        <v>10</v>
      </c>
      <c r="C67" s="2" t="s">
        <v>193</v>
      </c>
      <c r="D67" s="2" t="s">
        <v>38</v>
      </c>
      <c r="E67" s="2" t="s">
        <v>194</v>
      </c>
      <c r="F67" s="2" t="s">
        <v>38</v>
      </c>
      <c r="G67" s="2" t="s">
        <v>23</v>
      </c>
      <c r="H67" s="2" t="s">
        <v>27</v>
      </c>
      <c r="I67" s="2"/>
    </row>
    <row r="68" spans="1:9" ht="50" x14ac:dyDescent="0.35">
      <c r="A68" s="2" t="s">
        <v>192</v>
      </c>
      <c r="B68" s="2" t="s">
        <v>10</v>
      </c>
      <c r="C68" s="2" t="s">
        <v>195</v>
      </c>
      <c r="D68" s="2" t="s">
        <v>38</v>
      </c>
      <c r="E68" s="2" t="s">
        <v>196</v>
      </c>
      <c r="F68" s="2" t="s">
        <v>38</v>
      </c>
      <c r="G68" s="2" t="s">
        <v>23</v>
      </c>
      <c r="H68" s="2" t="s">
        <v>27</v>
      </c>
      <c r="I68" s="2"/>
    </row>
    <row r="69" spans="1:9" ht="50" x14ac:dyDescent="0.35">
      <c r="A69" s="3" t="s">
        <v>197</v>
      </c>
      <c r="B69" s="3" t="s">
        <v>10</v>
      </c>
      <c r="C69" s="3" t="s">
        <v>198</v>
      </c>
      <c r="D69" s="3" t="s">
        <v>30</v>
      </c>
      <c r="E69" s="3" t="s">
        <v>199</v>
      </c>
      <c r="F69" s="3" t="s">
        <v>30</v>
      </c>
      <c r="G69" s="3" t="s">
        <v>23</v>
      </c>
      <c r="H69" s="3" t="s">
        <v>24</v>
      </c>
      <c r="I69" s="3"/>
    </row>
    <row r="70" spans="1:9" ht="50" x14ac:dyDescent="0.35">
      <c r="A70" s="3" t="s">
        <v>197</v>
      </c>
      <c r="B70" s="3" t="s">
        <v>10</v>
      </c>
      <c r="C70" s="3" t="s">
        <v>200</v>
      </c>
      <c r="D70" s="3" t="s">
        <v>30</v>
      </c>
      <c r="E70" s="3" t="s">
        <v>201</v>
      </c>
      <c r="F70" s="3" t="s">
        <v>30</v>
      </c>
      <c r="G70" s="3" t="s">
        <v>23</v>
      </c>
      <c r="H70" s="3" t="s">
        <v>24</v>
      </c>
      <c r="I70" s="3"/>
    </row>
    <row r="71" spans="1:9" ht="50" x14ac:dyDescent="0.35">
      <c r="A71" s="2" t="s">
        <v>202</v>
      </c>
      <c r="B71" s="2" t="s">
        <v>10</v>
      </c>
      <c r="C71" s="2" t="s">
        <v>203</v>
      </c>
      <c r="D71" s="2" t="s">
        <v>38</v>
      </c>
      <c r="E71" s="2" t="s">
        <v>204</v>
      </c>
      <c r="F71" s="2" t="s">
        <v>38</v>
      </c>
      <c r="G71" s="2" t="s">
        <v>23</v>
      </c>
      <c r="H71" s="2" t="s">
        <v>27</v>
      </c>
      <c r="I71" s="2"/>
    </row>
    <row r="72" spans="1:9" ht="50" x14ac:dyDescent="0.35">
      <c r="A72" s="2" t="s">
        <v>202</v>
      </c>
      <c r="B72" s="2" t="s">
        <v>10</v>
      </c>
      <c r="C72" s="2" t="s">
        <v>205</v>
      </c>
      <c r="D72" s="2" t="s">
        <v>38</v>
      </c>
      <c r="E72" s="2" t="s">
        <v>206</v>
      </c>
      <c r="F72" s="2" t="s">
        <v>38</v>
      </c>
      <c r="G72" s="2" t="s">
        <v>23</v>
      </c>
      <c r="H72" s="2" t="s">
        <v>27</v>
      </c>
      <c r="I72" s="2"/>
    </row>
    <row r="73" spans="1:9" ht="50" x14ac:dyDescent="0.35">
      <c r="A73" s="3" t="s">
        <v>207</v>
      </c>
      <c r="B73" s="3" t="s">
        <v>10</v>
      </c>
      <c r="C73" s="3" t="s">
        <v>208</v>
      </c>
      <c r="D73" s="3" t="s">
        <v>38</v>
      </c>
      <c r="E73" s="3" t="s">
        <v>204</v>
      </c>
      <c r="F73" s="3" t="s">
        <v>38</v>
      </c>
      <c r="G73" s="3" t="s">
        <v>23</v>
      </c>
      <c r="H73" s="3" t="s">
        <v>27</v>
      </c>
      <c r="I73" s="3"/>
    </row>
    <row r="74" spans="1:9" ht="50" x14ac:dyDescent="0.35">
      <c r="A74" s="3" t="s">
        <v>207</v>
      </c>
      <c r="B74" s="3" t="s">
        <v>10</v>
      </c>
      <c r="C74" s="3" t="s">
        <v>209</v>
      </c>
      <c r="D74" s="3" t="s">
        <v>38</v>
      </c>
      <c r="E74" s="3" t="s">
        <v>210</v>
      </c>
      <c r="F74" s="3" t="s">
        <v>38</v>
      </c>
      <c r="G74" s="3" t="s">
        <v>23</v>
      </c>
      <c r="H74" s="3" t="s">
        <v>27</v>
      </c>
      <c r="I74" s="3"/>
    </row>
    <row r="75" spans="1:9" ht="50" x14ac:dyDescent="0.35">
      <c r="A75" s="2" t="s">
        <v>211</v>
      </c>
      <c r="B75" s="2" t="s">
        <v>10</v>
      </c>
      <c r="C75" s="2" t="s">
        <v>212</v>
      </c>
      <c r="D75" s="2" t="s">
        <v>12</v>
      </c>
      <c r="E75" s="2" t="s">
        <v>213</v>
      </c>
      <c r="F75" s="2" t="s">
        <v>12</v>
      </c>
      <c r="G75" s="2" t="s">
        <v>23</v>
      </c>
      <c r="H75" s="2" t="s">
        <v>214</v>
      </c>
      <c r="I75" s="2"/>
    </row>
    <row r="76" spans="1:9" ht="50" x14ac:dyDescent="0.35">
      <c r="A76" s="2" t="s">
        <v>211</v>
      </c>
      <c r="B76" s="2" t="s">
        <v>10</v>
      </c>
      <c r="C76" s="2" t="s">
        <v>215</v>
      </c>
      <c r="D76" s="2" t="s">
        <v>12</v>
      </c>
      <c r="E76" s="2" t="s">
        <v>216</v>
      </c>
      <c r="F76" s="2" t="s">
        <v>12</v>
      </c>
      <c r="G76" s="2" t="s">
        <v>23</v>
      </c>
      <c r="H76" s="2" t="s">
        <v>214</v>
      </c>
      <c r="I76" s="2"/>
    </row>
    <row r="77" spans="1:9" ht="50" x14ac:dyDescent="0.35">
      <c r="A77" s="3" t="s">
        <v>217</v>
      </c>
      <c r="B77" s="3" t="s">
        <v>10</v>
      </c>
      <c r="C77" s="3" t="s">
        <v>218</v>
      </c>
      <c r="D77" s="3" t="s">
        <v>12</v>
      </c>
      <c r="E77" s="3" t="s">
        <v>219</v>
      </c>
      <c r="F77" s="3" t="s">
        <v>12</v>
      </c>
      <c r="G77" s="3" t="s">
        <v>23</v>
      </c>
      <c r="H77" s="3" t="s">
        <v>214</v>
      </c>
      <c r="I77" s="3"/>
    </row>
    <row r="78" spans="1:9" ht="50" x14ac:dyDescent="0.35">
      <c r="A78" s="3" t="s">
        <v>217</v>
      </c>
      <c r="B78" s="3" t="s">
        <v>10</v>
      </c>
      <c r="C78" s="3" t="s">
        <v>220</v>
      </c>
      <c r="D78" s="3" t="s">
        <v>12</v>
      </c>
      <c r="E78" s="3" t="s">
        <v>221</v>
      </c>
      <c r="F78" s="3" t="s">
        <v>12</v>
      </c>
      <c r="G78" s="3" t="s">
        <v>23</v>
      </c>
      <c r="H78" s="3" t="s">
        <v>214</v>
      </c>
      <c r="I78" s="3"/>
    </row>
    <row r="79" spans="1:9" ht="50" x14ac:dyDescent="0.35">
      <c r="A79" s="2" t="s">
        <v>222</v>
      </c>
      <c r="B79" s="2" t="s">
        <v>10</v>
      </c>
      <c r="C79" s="2" t="s">
        <v>223</v>
      </c>
      <c r="D79" s="2" t="s">
        <v>38</v>
      </c>
      <c r="E79" s="2" t="s">
        <v>224</v>
      </c>
      <c r="F79" s="2" t="s">
        <v>38</v>
      </c>
      <c r="G79" s="2" t="s">
        <v>23</v>
      </c>
      <c r="H79" s="2" t="s">
        <v>27</v>
      </c>
      <c r="I79" s="2"/>
    </row>
    <row r="80" spans="1:9" ht="50" x14ac:dyDescent="0.35">
      <c r="A80" s="2" t="s">
        <v>222</v>
      </c>
      <c r="B80" s="2" t="s">
        <v>10</v>
      </c>
      <c r="C80" s="2" t="s">
        <v>225</v>
      </c>
      <c r="D80" s="2" t="s">
        <v>38</v>
      </c>
      <c r="E80" s="2" t="s">
        <v>226</v>
      </c>
      <c r="F80" s="2" t="s">
        <v>38</v>
      </c>
      <c r="G80" s="2" t="s">
        <v>23</v>
      </c>
      <c r="H80" s="2" t="s">
        <v>27</v>
      </c>
      <c r="I80" s="2"/>
    </row>
    <row r="81" spans="1:9" ht="50" x14ac:dyDescent="0.35">
      <c r="A81" s="2" t="s">
        <v>222</v>
      </c>
      <c r="B81" s="2" t="s">
        <v>10</v>
      </c>
      <c r="C81" s="2" t="s">
        <v>227</v>
      </c>
      <c r="D81" s="2" t="s">
        <v>38</v>
      </c>
      <c r="E81" s="2" t="s">
        <v>228</v>
      </c>
      <c r="F81" s="2" t="s">
        <v>38</v>
      </c>
      <c r="G81" s="2" t="s">
        <v>23</v>
      </c>
      <c r="H81" s="2" t="s">
        <v>27</v>
      </c>
      <c r="I81" s="2"/>
    </row>
    <row r="82" spans="1:9" ht="50" x14ac:dyDescent="0.35">
      <c r="A82" s="3" t="s">
        <v>229</v>
      </c>
      <c r="B82" s="3" t="s">
        <v>10</v>
      </c>
      <c r="C82" s="3" t="s">
        <v>230</v>
      </c>
      <c r="D82" s="3" t="s">
        <v>12</v>
      </c>
      <c r="E82" s="3" t="s">
        <v>231</v>
      </c>
      <c r="F82" s="3" t="s">
        <v>32</v>
      </c>
      <c r="G82" s="3" t="s">
        <v>15</v>
      </c>
      <c r="H82" s="3" t="s">
        <v>16</v>
      </c>
      <c r="I82" s="3"/>
    </row>
    <row r="83" spans="1:9" ht="50" x14ac:dyDescent="0.35">
      <c r="A83" s="3" t="s">
        <v>229</v>
      </c>
      <c r="B83" s="3" t="s">
        <v>10</v>
      </c>
      <c r="C83" s="3" t="s">
        <v>232</v>
      </c>
      <c r="D83" s="3" t="s">
        <v>30</v>
      </c>
      <c r="E83" s="3" t="s">
        <v>233</v>
      </c>
      <c r="F83" s="3" t="s">
        <v>32</v>
      </c>
      <c r="G83" s="3" t="s">
        <v>15</v>
      </c>
      <c r="H83" s="3" t="s">
        <v>16</v>
      </c>
      <c r="I83" s="3"/>
    </row>
    <row r="84" spans="1:9" ht="50" x14ac:dyDescent="0.35">
      <c r="A84" s="2" t="s">
        <v>234</v>
      </c>
      <c r="B84" s="2" t="s">
        <v>10</v>
      </c>
      <c r="C84" s="2" t="s">
        <v>235</v>
      </c>
      <c r="D84" s="2" t="s">
        <v>12</v>
      </c>
      <c r="E84" s="2" t="s">
        <v>236</v>
      </c>
      <c r="F84" s="2" t="s">
        <v>12</v>
      </c>
      <c r="G84" s="2" t="s">
        <v>23</v>
      </c>
      <c r="H84" s="2" t="s">
        <v>16</v>
      </c>
      <c r="I84" s="2"/>
    </row>
    <row r="85" spans="1:9" ht="50" x14ac:dyDescent="0.35">
      <c r="A85" s="2" t="s">
        <v>234</v>
      </c>
      <c r="B85" s="2" t="s">
        <v>10</v>
      </c>
      <c r="C85" s="2" t="s">
        <v>237</v>
      </c>
      <c r="D85" s="2" t="s">
        <v>12</v>
      </c>
      <c r="E85" s="2" t="s">
        <v>238</v>
      </c>
      <c r="F85" s="2" t="s">
        <v>12</v>
      </c>
      <c r="G85" s="2" t="s">
        <v>23</v>
      </c>
      <c r="H85" s="2" t="s">
        <v>16</v>
      </c>
      <c r="I85" s="2"/>
    </row>
    <row r="86" spans="1:9" ht="50" x14ac:dyDescent="0.35">
      <c r="A86" s="3" t="s">
        <v>239</v>
      </c>
      <c r="B86" s="3" t="s">
        <v>10</v>
      </c>
      <c r="C86" s="3" t="s">
        <v>240</v>
      </c>
      <c r="D86" s="3" t="s">
        <v>38</v>
      </c>
      <c r="E86" s="3" t="s">
        <v>241</v>
      </c>
      <c r="F86" s="3" t="s">
        <v>38</v>
      </c>
      <c r="G86" s="3" t="s">
        <v>23</v>
      </c>
      <c r="H86" s="3" t="s">
        <v>27</v>
      </c>
      <c r="I86" s="3"/>
    </row>
    <row r="87" spans="1:9" ht="50" x14ac:dyDescent="0.35">
      <c r="A87" s="3" t="s">
        <v>239</v>
      </c>
      <c r="B87" s="3" t="s">
        <v>10</v>
      </c>
      <c r="C87" s="3" t="s">
        <v>242</v>
      </c>
      <c r="D87" s="3" t="s">
        <v>38</v>
      </c>
      <c r="E87" s="3" t="s">
        <v>243</v>
      </c>
      <c r="F87" s="3" t="s">
        <v>38</v>
      </c>
      <c r="G87" s="3" t="s">
        <v>23</v>
      </c>
      <c r="H87" s="3" t="s">
        <v>27</v>
      </c>
      <c r="I87" s="3"/>
    </row>
    <row r="88" spans="1:9" ht="50" x14ac:dyDescent="0.35">
      <c r="A88" s="2" t="s">
        <v>244</v>
      </c>
      <c r="B88" s="2" t="s">
        <v>10</v>
      </c>
      <c r="C88" s="2" t="s">
        <v>245</v>
      </c>
      <c r="D88" s="2" t="s">
        <v>91</v>
      </c>
      <c r="E88" s="2" t="s">
        <v>246</v>
      </c>
      <c r="F88" s="2" t="s">
        <v>91</v>
      </c>
      <c r="G88" s="2" t="s">
        <v>23</v>
      </c>
      <c r="H88" s="2" t="s">
        <v>16</v>
      </c>
      <c r="I88" s="2"/>
    </row>
    <row r="89" spans="1:9" ht="50" x14ac:dyDescent="0.35">
      <c r="A89" s="2" t="s">
        <v>244</v>
      </c>
      <c r="B89" s="2" t="s">
        <v>10</v>
      </c>
      <c r="C89" s="2" t="s">
        <v>247</v>
      </c>
      <c r="D89" s="2" t="s">
        <v>91</v>
      </c>
      <c r="E89" s="2" t="s">
        <v>248</v>
      </c>
      <c r="F89" s="2" t="s">
        <v>91</v>
      </c>
      <c r="G89" s="2" t="s">
        <v>23</v>
      </c>
      <c r="H89" s="2" t="s">
        <v>132</v>
      </c>
      <c r="I89" s="2"/>
    </row>
    <row r="90" spans="1:9" ht="50" x14ac:dyDescent="0.35">
      <c r="A90" s="3" t="s">
        <v>249</v>
      </c>
      <c r="B90" s="3" t="s">
        <v>10</v>
      </c>
      <c r="C90" s="3" t="s">
        <v>250</v>
      </c>
      <c r="D90" s="3" t="s">
        <v>12</v>
      </c>
      <c r="E90" s="3" t="s">
        <v>251</v>
      </c>
      <c r="F90" s="3" t="s">
        <v>86</v>
      </c>
      <c r="G90" s="3" t="s">
        <v>15</v>
      </c>
      <c r="H90" s="3" t="s">
        <v>87</v>
      </c>
      <c r="I90" s="3"/>
    </row>
    <row r="91" spans="1:9" ht="50" x14ac:dyDescent="0.35">
      <c r="A91" s="3" t="s">
        <v>249</v>
      </c>
      <c r="B91" s="3" t="s">
        <v>10</v>
      </c>
      <c r="C91" s="3" t="s">
        <v>252</v>
      </c>
      <c r="D91" s="3" t="s">
        <v>38</v>
      </c>
      <c r="E91" s="3" t="s">
        <v>253</v>
      </c>
      <c r="F91" s="3" t="s">
        <v>86</v>
      </c>
      <c r="G91" s="3" t="s">
        <v>15</v>
      </c>
      <c r="H91" s="3" t="s">
        <v>87</v>
      </c>
      <c r="I91" s="3"/>
    </row>
    <row r="92" spans="1:9" ht="50" x14ac:dyDescent="0.35">
      <c r="A92" s="2" t="s">
        <v>254</v>
      </c>
      <c r="B92" s="2" t="s">
        <v>10</v>
      </c>
      <c r="C92" s="2" t="s">
        <v>255</v>
      </c>
      <c r="D92" s="2" t="s">
        <v>12</v>
      </c>
      <c r="E92" s="2" t="s">
        <v>256</v>
      </c>
      <c r="F92" s="2" t="s">
        <v>12</v>
      </c>
      <c r="G92" s="2" t="s">
        <v>23</v>
      </c>
      <c r="H92" s="2" t="s">
        <v>16</v>
      </c>
      <c r="I92" s="2"/>
    </row>
    <row r="93" spans="1:9" ht="50" x14ac:dyDescent="0.35">
      <c r="A93" s="2" t="s">
        <v>254</v>
      </c>
      <c r="B93" s="2" t="s">
        <v>10</v>
      </c>
      <c r="C93" s="2" t="s">
        <v>257</v>
      </c>
      <c r="D93" s="2" t="s">
        <v>12</v>
      </c>
      <c r="E93" s="2" t="s">
        <v>258</v>
      </c>
      <c r="F93" s="2" t="s">
        <v>12</v>
      </c>
      <c r="G93" s="2" t="s">
        <v>23</v>
      </c>
      <c r="H93" s="2" t="s">
        <v>16</v>
      </c>
      <c r="I93" s="2"/>
    </row>
    <row r="94" spans="1:9" ht="50" x14ac:dyDescent="0.35">
      <c r="A94" s="3" t="s">
        <v>259</v>
      </c>
      <c r="B94" s="3" t="s">
        <v>10</v>
      </c>
      <c r="C94" s="3" t="s">
        <v>260</v>
      </c>
      <c r="D94" s="3" t="s">
        <v>30</v>
      </c>
      <c r="E94" s="3" t="s">
        <v>261</v>
      </c>
      <c r="F94" s="3" t="s">
        <v>262</v>
      </c>
      <c r="G94" s="3" t="s">
        <v>15</v>
      </c>
      <c r="H94" s="3" t="s">
        <v>35</v>
      </c>
      <c r="I94" s="3"/>
    </row>
    <row r="95" spans="1:9" ht="50" x14ac:dyDescent="0.35">
      <c r="A95" s="3" t="s">
        <v>259</v>
      </c>
      <c r="B95" s="3" t="s">
        <v>10</v>
      </c>
      <c r="C95" s="3" t="s">
        <v>263</v>
      </c>
      <c r="D95" s="3" t="s">
        <v>18</v>
      </c>
      <c r="E95" s="3" t="s">
        <v>264</v>
      </c>
      <c r="F95" s="3" t="s">
        <v>262</v>
      </c>
      <c r="G95" s="3" t="s">
        <v>15</v>
      </c>
      <c r="H95" s="3" t="s">
        <v>35</v>
      </c>
      <c r="I95" s="3"/>
    </row>
    <row r="96" spans="1:9" ht="50" x14ac:dyDescent="0.35">
      <c r="A96" s="2" t="s">
        <v>265</v>
      </c>
      <c r="B96" s="2" t="s">
        <v>10</v>
      </c>
      <c r="C96" s="2" t="s">
        <v>266</v>
      </c>
      <c r="D96" s="2" t="s">
        <v>30</v>
      </c>
      <c r="E96" s="2" t="s">
        <v>261</v>
      </c>
      <c r="F96" s="2" t="s">
        <v>267</v>
      </c>
      <c r="G96" s="2" t="s">
        <v>15</v>
      </c>
      <c r="H96" s="2" t="s">
        <v>24</v>
      </c>
      <c r="I96" s="2"/>
    </row>
    <row r="97" spans="1:9" ht="50" x14ac:dyDescent="0.35">
      <c r="A97" s="2" t="s">
        <v>265</v>
      </c>
      <c r="B97" s="2" t="s">
        <v>10</v>
      </c>
      <c r="C97" s="2" t="s">
        <v>268</v>
      </c>
      <c r="D97" s="2" t="s">
        <v>269</v>
      </c>
      <c r="E97" s="2" t="s">
        <v>270</v>
      </c>
      <c r="F97" s="2" t="s">
        <v>267</v>
      </c>
      <c r="G97" s="2" t="s">
        <v>15</v>
      </c>
      <c r="H97" s="2" t="s">
        <v>35</v>
      </c>
      <c r="I97" s="2"/>
    </row>
    <row r="98" spans="1:9" ht="50" x14ac:dyDescent="0.35">
      <c r="A98" s="3" t="s">
        <v>271</v>
      </c>
      <c r="B98" s="3" t="s">
        <v>10</v>
      </c>
      <c r="C98" s="3" t="s">
        <v>272</v>
      </c>
      <c r="D98" s="3" t="s">
        <v>59</v>
      </c>
      <c r="E98" s="3" t="s">
        <v>273</v>
      </c>
      <c r="F98" s="3" t="s">
        <v>274</v>
      </c>
      <c r="G98" s="3" t="s">
        <v>15</v>
      </c>
      <c r="H98" s="3" t="s">
        <v>214</v>
      </c>
      <c r="I98" s="3"/>
    </row>
    <row r="99" spans="1:9" ht="50" x14ac:dyDescent="0.35">
      <c r="A99" s="3" t="s">
        <v>271</v>
      </c>
      <c r="B99" s="3" t="s">
        <v>10</v>
      </c>
      <c r="C99" s="3" t="s">
        <v>275</v>
      </c>
      <c r="D99" s="3" t="s">
        <v>91</v>
      </c>
      <c r="E99" s="3" t="s">
        <v>276</v>
      </c>
      <c r="F99" s="3" t="s">
        <v>274</v>
      </c>
      <c r="G99" s="3" t="s">
        <v>15</v>
      </c>
      <c r="H99" s="3" t="s">
        <v>214</v>
      </c>
      <c r="I99" s="3"/>
    </row>
    <row r="100" spans="1:9" ht="50" x14ac:dyDescent="0.35">
      <c r="A100" s="2" t="s">
        <v>277</v>
      </c>
      <c r="B100" s="2" t="s">
        <v>10</v>
      </c>
      <c r="C100" s="2" t="s">
        <v>278</v>
      </c>
      <c r="D100" s="2" t="s">
        <v>12</v>
      </c>
      <c r="E100" s="2" t="s">
        <v>279</v>
      </c>
      <c r="F100" s="2" t="s">
        <v>170</v>
      </c>
      <c r="G100" s="2" t="s">
        <v>23</v>
      </c>
      <c r="H100" s="2" t="s">
        <v>24</v>
      </c>
      <c r="I100" s="2"/>
    </row>
    <row r="101" spans="1:9" ht="50" x14ac:dyDescent="0.35">
      <c r="A101" s="2" t="s">
        <v>277</v>
      </c>
      <c r="B101" s="2" t="s">
        <v>10</v>
      </c>
      <c r="C101" s="2" t="s">
        <v>280</v>
      </c>
      <c r="D101" s="2" t="s">
        <v>168</v>
      </c>
      <c r="E101" s="2" t="s">
        <v>281</v>
      </c>
      <c r="F101" s="2" t="s">
        <v>170</v>
      </c>
      <c r="G101" s="2" t="s">
        <v>23</v>
      </c>
      <c r="H101" s="2" t="s">
        <v>24</v>
      </c>
      <c r="I101" s="2"/>
    </row>
    <row r="102" spans="1:9" ht="50" x14ac:dyDescent="0.35">
      <c r="A102" s="3" t="s">
        <v>282</v>
      </c>
      <c r="B102" s="3" t="s">
        <v>10</v>
      </c>
      <c r="C102" s="3" t="s">
        <v>283</v>
      </c>
      <c r="D102" s="3" t="s">
        <v>284</v>
      </c>
      <c r="E102" s="3" t="s">
        <v>285</v>
      </c>
      <c r="F102" s="3" t="s">
        <v>148</v>
      </c>
      <c r="G102" s="3" t="s">
        <v>23</v>
      </c>
      <c r="H102" s="3" t="s">
        <v>27</v>
      </c>
      <c r="I102" s="3"/>
    </row>
    <row r="103" spans="1:9" ht="50" x14ac:dyDescent="0.35">
      <c r="A103" s="3" t="s">
        <v>282</v>
      </c>
      <c r="B103" s="3" t="s">
        <v>10</v>
      </c>
      <c r="C103" s="3" t="s">
        <v>286</v>
      </c>
      <c r="D103" s="3" t="s">
        <v>38</v>
      </c>
      <c r="E103" s="3" t="s">
        <v>287</v>
      </c>
      <c r="F103" s="3" t="s">
        <v>148</v>
      </c>
      <c r="G103" s="3" t="s">
        <v>23</v>
      </c>
      <c r="H103" s="3" t="s">
        <v>27</v>
      </c>
      <c r="I103" s="3"/>
    </row>
    <row r="104" spans="1:9" ht="50" x14ac:dyDescent="0.35">
      <c r="A104" s="2" t="s">
        <v>288</v>
      </c>
      <c r="B104" s="2" t="s">
        <v>10</v>
      </c>
      <c r="C104" s="2" t="s">
        <v>289</v>
      </c>
      <c r="D104" s="2" t="s">
        <v>12</v>
      </c>
      <c r="E104" s="2" t="s">
        <v>290</v>
      </c>
      <c r="F104" s="2" t="s">
        <v>291</v>
      </c>
      <c r="G104" s="2" t="s">
        <v>15</v>
      </c>
      <c r="H104" s="2" t="s">
        <v>132</v>
      </c>
      <c r="I104" s="2"/>
    </row>
    <row r="105" spans="1:9" ht="50" x14ac:dyDescent="0.35">
      <c r="A105" s="2" t="s">
        <v>288</v>
      </c>
      <c r="B105" s="2" t="s">
        <v>10</v>
      </c>
      <c r="C105" s="2" t="s">
        <v>292</v>
      </c>
      <c r="D105" s="2" t="s">
        <v>116</v>
      </c>
      <c r="E105" s="2" t="s">
        <v>293</v>
      </c>
      <c r="F105" s="2" t="s">
        <v>291</v>
      </c>
      <c r="G105" s="2" t="s">
        <v>15</v>
      </c>
      <c r="H105" s="2" t="s">
        <v>132</v>
      </c>
      <c r="I105" s="2"/>
    </row>
    <row r="106" spans="1:9" ht="50" x14ac:dyDescent="0.35">
      <c r="A106" s="3" t="s">
        <v>294</v>
      </c>
      <c r="B106" s="3" t="s">
        <v>10</v>
      </c>
      <c r="C106" s="3" t="s">
        <v>295</v>
      </c>
      <c r="D106" s="3" t="s">
        <v>91</v>
      </c>
      <c r="E106" s="3" t="s">
        <v>296</v>
      </c>
      <c r="F106" s="3" t="s">
        <v>170</v>
      </c>
      <c r="G106" s="3" t="s">
        <v>15</v>
      </c>
      <c r="H106" s="3" t="s">
        <v>132</v>
      </c>
      <c r="I106" s="3"/>
    </row>
    <row r="107" spans="1:9" ht="50" x14ac:dyDescent="0.35">
      <c r="A107" s="3" t="s">
        <v>294</v>
      </c>
      <c r="B107" s="3" t="s">
        <v>10</v>
      </c>
      <c r="C107" s="3" t="s">
        <v>297</v>
      </c>
      <c r="D107" s="3" t="s">
        <v>12</v>
      </c>
      <c r="E107" s="3" t="s">
        <v>63</v>
      </c>
      <c r="F107" s="3" t="s">
        <v>170</v>
      </c>
      <c r="G107" s="3" t="s">
        <v>15</v>
      </c>
      <c r="H107" s="3" t="s">
        <v>132</v>
      </c>
      <c r="I107" s="3"/>
    </row>
    <row r="108" spans="1:9" ht="50" x14ac:dyDescent="0.35">
      <c r="A108" s="2" t="s">
        <v>298</v>
      </c>
      <c r="B108" s="2" t="s">
        <v>10</v>
      </c>
      <c r="C108" s="2" t="s">
        <v>299</v>
      </c>
      <c r="D108" s="2" t="s">
        <v>18</v>
      </c>
      <c r="E108" s="2" t="s">
        <v>300</v>
      </c>
      <c r="F108" s="2" t="s">
        <v>14</v>
      </c>
      <c r="G108" s="2" t="s">
        <v>15</v>
      </c>
      <c r="H108" s="2" t="s">
        <v>132</v>
      </c>
      <c r="I108" s="2"/>
    </row>
    <row r="109" spans="1:9" ht="50" x14ac:dyDescent="0.35">
      <c r="A109" s="2" t="s">
        <v>298</v>
      </c>
      <c r="B109" s="2" t="s">
        <v>10</v>
      </c>
      <c r="C109" s="2" t="s">
        <v>301</v>
      </c>
      <c r="D109" s="2" t="s">
        <v>12</v>
      </c>
      <c r="E109" s="2" t="s">
        <v>302</v>
      </c>
      <c r="F109" s="2" t="s">
        <v>14</v>
      </c>
      <c r="G109" s="2" t="s">
        <v>15</v>
      </c>
      <c r="H109" s="2" t="s">
        <v>132</v>
      </c>
      <c r="I109" s="2"/>
    </row>
    <row r="110" spans="1:9" ht="50" x14ac:dyDescent="0.35">
      <c r="A110" s="3" t="s">
        <v>303</v>
      </c>
      <c r="B110" s="3" t="s">
        <v>10</v>
      </c>
      <c r="C110" s="3" t="s">
        <v>304</v>
      </c>
      <c r="D110" s="3" t="s">
        <v>91</v>
      </c>
      <c r="E110" s="3" t="s">
        <v>305</v>
      </c>
      <c r="F110" s="3" t="s">
        <v>91</v>
      </c>
      <c r="G110" s="3" t="s">
        <v>23</v>
      </c>
      <c r="H110" s="3" t="s">
        <v>27</v>
      </c>
      <c r="I110" s="3"/>
    </row>
    <row r="111" spans="1:9" ht="50" x14ac:dyDescent="0.35">
      <c r="A111" s="3" t="s">
        <v>303</v>
      </c>
      <c r="B111" s="3" t="s">
        <v>10</v>
      </c>
      <c r="C111" s="3" t="s">
        <v>306</v>
      </c>
      <c r="D111" s="3" t="s">
        <v>91</v>
      </c>
      <c r="E111" s="3" t="s">
        <v>307</v>
      </c>
      <c r="F111" s="3" t="s">
        <v>91</v>
      </c>
      <c r="G111" s="3" t="s">
        <v>23</v>
      </c>
      <c r="H111" s="3" t="s">
        <v>132</v>
      </c>
      <c r="I111" s="3"/>
    </row>
    <row r="112" spans="1:9" ht="50" x14ac:dyDescent="0.35">
      <c r="A112" s="2" t="s">
        <v>308</v>
      </c>
      <c r="B112" s="2" t="s">
        <v>10</v>
      </c>
      <c r="C112" s="2" t="s">
        <v>309</v>
      </c>
      <c r="D112" s="2" t="s">
        <v>310</v>
      </c>
      <c r="E112" s="2" t="s">
        <v>311</v>
      </c>
      <c r="F112" s="2" t="s">
        <v>310</v>
      </c>
      <c r="G112" s="2" t="s">
        <v>23</v>
      </c>
      <c r="H112" s="2" t="s">
        <v>132</v>
      </c>
      <c r="I112" s="2"/>
    </row>
    <row r="113" spans="1:9" ht="50" x14ac:dyDescent="0.35">
      <c r="A113" s="2" t="s">
        <v>308</v>
      </c>
      <c r="B113" s="2" t="s">
        <v>10</v>
      </c>
      <c r="C113" s="2" t="s">
        <v>312</v>
      </c>
      <c r="D113" s="2" t="s">
        <v>310</v>
      </c>
      <c r="E113" s="2" t="s">
        <v>313</v>
      </c>
      <c r="F113" s="2" t="s">
        <v>310</v>
      </c>
      <c r="G113" s="2" t="s">
        <v>23</v>
      </c>
      <c r="H113" s="2" t="s">
        <v>27</v>
      </c>
      <c r="I113" s="2"/>
    </row>
    <row r="114" spans="1:9" ht="50" x14ac:dyDescent="0.35">
      <c r="A114" s="3" t="s">
        <v>314</v>
      </c>
      <c r="B114" s="3" t="s">
        <v>10</v>
      </c>
      <c r="C114" s="3" t="s">
        <v>315</v>
      </c>
      <c r="D114" s="3" t="s">
        <v>38</v>
      </c>
      <c r="E114" s="3" t="s">
        <v>316</v>
      </c>
      <c r="F114" s="3" t="s">
        <v>38</v>
      </c>
      <c r="G114" s="3" t="s">
        <v>23</v>
      </c>
      <c r="H114" s="3" t="s">
        <v>27</v>
      </c>
      <c r="I114" s="3"/>
    </row>
    <row r="115" spans="1:9" ht="50" x14ac:dyDescent="0.35">
      <c r="A115" s="3" t="s">
        <v>314</v>
      </c>
      <c r="B115" s="3" t="s">
        <v>10</v>
      </c>
      <c r="C115" s="3" t="s">
        <v>317</v>
      </c>
      <c r="D115" s="3" t="s">
        <v>38</v>
      </c>
      <c r="E115" s="3" t="s">
        <v>318</v>
      </c>
      <c r="F115" s="3" t="s">
        <v>38</v>
      </c>
      <c r="G115" s="3" t="s">
        <v>23</v>
      </c>
      <c r="H115" s="3" t="s">
        <v>27</v>
      </c>
      <c r="I115" s="3"/>
    </row>
    <row r="116" spans="1:9" ht="50" x14ac:dyDescent="0.35">
      <c r="A116" s="2" t="s">
        <v>319</v>
      </c>
      <c r="B116" s="2" t="s">
        <v>10</v>
      </c>
      <c r="C116" s="2" t="s">
        <v>320</v>
      </c>
      <c r="D116" s="2" t="s">
        <v>12</v>
      </c>
      <c r="E116" s="2" t="s">
        <v>321</v>
      </c>
      <c r="F116" s="2" t="s">
        <v>14</v>
      </c>
      <c r="G116" s="2" t="s">
        <v>23</v>
      </c>
      <c r="H116" s="2" t="s">
        <v>16</v>
      </c>
      <c r="I116" s="2"/>
    </row>
    <row r="117" spans="1:9" ht="50" x14ac:dyDescent="0.35">
      <c r="A117" s="2" t="s">
        <v>319</v>
      </c>
      <c r="B117" s="2" t="s">
        <v>10</v>
      </c>
      <c r="C117" s="2" t="s">
        <v>322</v>
      </c>
      <c r="D117" s="2" t="s">
        <v>59</v>
      </c>
      <c r="E117" s="2" t="s">
        <v>323</v>
      </c>
      <c r="F117" s="2" t="s">
        <v>14</v>
      </c>
      <c r="G117" s="2" t="s">
        <v>23</v>
      </c>
      <c r="H117" s="2" t="s">
        <v>16</v>
      </c>
      <c r="I117" s="2"/>
    </row>
    <row r="118" spans="1:9" ht="50" x14ac:dyDescent="0.35">
      <c r="A118" s="3" t="s">
        <v>324</v>
      </c>
      <c r="B118" s="3" t="s">
        <v>10</v>
      </c>
      <c r="C118" s="3" t="s">
        <v>325</v>
      </c>
      <c r="D118" s="3" t="s">
        <v>30</v>
      </c>
      <c r="E118" s="3" t="s">
        <v>326</v>
      </c>
      <c r="F118" s="3" t="s">
        <v>262</v>
      </c>
      <c r="G118" s="3" t="s">
        <v>15</v>
      </c>
      <c r="H118" s="3" t="s">
        <v>214</v>
      </c>
      <c r="I118" s="3"/>
    </row>
    <row r="119" spans="1:9" ht="50" x14ac:dyDescent="0.35">
      <c r="A119" s="3" t="s">
        <v>324</v>
      </c>
      <c r="B119" s="3" t="s">
        <v>10</v>
      </c>
      <c r="C119" s="3" t="s">
        <v>327</v>
      </c>
      <c r="D119" s="3" t="s">
        <v>18</v>
      </c>
      <c r="E119" s="3" t="s">
        <v>328</v>
      </c>
      <c r="F119" s="3" t="s">
        <v>262</v>
      </c>
      <c r="G119" s="3" t="s">
        <v>15</v>
      </c>
      <c r="H119" s="3" t="s">
        <v>16</v>
      </c>
      <c r="I119" s="3"/>
    </row>
    <row r="120" spans="1:9" ht="50" x14ac:dyDescent="0.35">
      <c r="A120" s="2" t="s">
        <v>329</v>
      </c>
      <c r="B120" s="2" t="s">
        <v>10</v>
      </c>
      <c r="C120" s="2" t="s">
        <v>330</v>
      </c>
      <c r="D120" s="2" t="s">
        <v>12</v>
      </c>
      <c r="E120" s="2" t="s">
        <v>63</v>
      </c>
      <c r="F120" s="2" t="s">
        <v>176</v>
      </c>
      <c r="G120" s="2" t="s">
        <v>23</v>
      </c>
      <c r="H120" s="2" t="s">
        <v>35</v>
      </c>
      <c r="I120" s="2"/>
    </row>
    <row r="121" spans="1:9" ht="50" x14ac:dyDescent="0.35">
      <c r="A121" s="2" t="s">
        <v>329</v>
      </c>
      <c r="B121" s="2" t="s">
        <v>10</v>
      </c>
      <c r="C121" s="2" t="s">
        <v>331</v>
      </c>
      <c r="D121" s="2" t="s">
        <v>181</v>
      </c>
      <c r="E121" s="2" t="s">
        <v>332</v>
      </c>
      <c r="F121" s="2" t="s">
        <v>176</v>
      </c>
      <c r="G121" s="2" t="s">
        <v>23</v>
      </c>
      <c r="H121" s="2" t="s">
        <v>35</v>
      </c>
      <c r="I121" s="2"/>
    </row>
    <row r="122" spans="1:9" ht="50" x14ac:dyDescent="0.35">
      <c r="A122" s="3" t="s">
        <v>333</v>
      </c>
      <c r="B122" s="3" t="s">
        <v>10</v>
      </c>
      <c r="C122" s="3" t="s">
        <v>334</v>
      </c>
      <c r="D122" s="3" t="s">
        <v>91</v>
      </c>
      <c r="E122" s="3" t="s">
        <v>335</v>
      </c>
      <c r="F122" s="3" t="s">
        <v>336</v>
      </c>
      <c r="G122" s="3" t="s">
        <v>23</v>
      </c>
      <c r="H122" s="3" t="s">
        <v>35</v>
      </c>
      <c r="I122" s="3"/>
    </row>
    <row r="123" spans="1:9" ht="50" x14ac:dyDescent="0.35">
      <c r="A123" s="3" t="s">
        <v>333</v>
      </c>
      <c r="B123" s="3" t="s">
        <v>10</v>
      </c>
      <c r="C123" s="3" t="s">
        <v>337</v>
      </c>
      <c r="D123" s="3" t="s">
        <v>269</v>
      </c>
      <c r="E123" s="3" t="s">
        <v>338</v>
      </c>
      <c r="F123" s="3" t="s">
        <v>336</v>
      </c>
      <c r="G123" s="3" t="s">
        <v>23</v>
      </c>
      <c r="H123" s="3" t="s">
        <v>35</v>
      </c>
      <c r="I123" s="3"/>
    </row>
    <row r="124" spans="1:9" ht="50" x14ac:dyDescent="0.35">
      <c r="A124" s="2" t="s">
        <v>339</v>
      </c>
      <c r="B124" s="2" t="s">
        <v>10</v>
      </c>
      <c r="C124" s="2" t="s">
        <v>340</v>
      </c>
      <c r="D124" s="2" t="s">
        <v>91</v>
      </c>
      <c r="E124" s="2" t="s">
        <v>341</v>
      </c>
      <c r="F124" s="2" t="s">
        <v>336</v>
      </c>
      <c r="G124" s="2" t="s">
        <v>15</v>
      </c>
      <c r="H124" s="2" t="s">
        <v>35</v>
      </c>
      <c r="I124" s="2"/>
    </row>
    <row r="125" spans="1:9" ht="50" x14ac:dyDescent="0.35">
      <c r="A125" s="2" t="s">
        <v>339</v>
      </c>
      <c r="B125" s="2" t="s">
        <v>10</v>
      </c>
      <c r="C125" s="2" t="s">
        <v>342</v>
      </c>
      <c r="D125" s="2" t="s">
        <v>18</v>
      </c>
      <c r="E125" s="2" t="s">
        <v>343</v>
      </c>
      <c r="F125" s="2" t="s">
        <v>336</v>
      </c>
      <c r="G125" s="2" t="s">
        <v>15</v>
      </c>
      <c r="H125" s="2" t="s">
        <v>35</v>
      </c>
      <c r="I125" s="2"/>
    </row>
    <row r="126" spans="1:9" ht="50" x14ac:dyDescent="0.35">
      <c r="A126" s="3" t="s">
        <v>344</v>
      </c>
      <c r="B126" s="3" t="s">
        <v>10</v>
      </c>
      <c r="C126" s="3" t="s">
        <v>345</v>
      </c>
      <c r="D126" s="3" t="s">
        <v>30</v>
      </c>
      <c r="E126" s="3" t="s">
        <v>346</v>
      </c>
      <c r="F126" s="3" t="s">
        <v>30</v>
      </c>
      <c r="G126" s="3" t="s">
        <v>23</v>
      </c>
      <c r="H126" s="3" t="s">
        <v>24</v>
      </c>
      <c r="I126" s="3"/>
    </row>
    <row r="127" spans="1:9" ht="50" x14ac:dyDescent="0.35">
      <c r="A127" s="3" t="s">
        <v>344</v>
      </c>
      <c r="B127" s="3" t="s">
        <v>10</v>
      </c>
      <c r="C127" s="3" t="s">
        <v>347</v>
      </c>
      <c r="D127" s="3" t="s">
        <v>30</v>
      </c>
      <c r="E127" s="3" t="s">
        <v>348</v>
      </c>
      <c r="F127" s="3" t="s">
        <v>30</v>
      </c>
      <c r="G127" s="3" t="s">
        <v>23</v>
      </c>
      <c r="H127" s="3" t="s">
        <v>24</v>
      </c>
      <c r="I127" s="3"/>
    </row>
    <row r="128" spans="1:9" ht="50" x14ac:dyDescent="0.35">
      <c r="A128" s="2" t="s">
        <v>349</v>
      </c>
      <c r="B128" s="2" t="s">
        <v>10</v>
      </c>
      <c r="C128" s="2" t="s">
        <v>350</v>
      </c>
      <c r="D128" s="2" t="s">
        <v>91</v>
      </c>
      <c r="E128" s="2" t="s">
        <v>351</v>
      </c>
      <c r="F128" s="2" t="s">
        <v>170</v>
      </c>
      <c r="G128" s="2" t="s">
        <v>15</v>
      </c>
      <c r="H128" s="2" t="s">
        <v>27</v>
      </c>
      <c r="I128" s="2"/>
    </row>
    <row r="129" spans="1:9" ht="50" x14ac:dyDescent="0.35">
      <c r="A129" s="2" t="s">
        <v>349</v>
      </c>
      <c r="B129" s="2" t="s">
        <v>10</v>
      </c>
      <c r="C129" s="2" t="s">
        <v>352</v>
      </c>
      <c r="D129" s="2" t="s">
        <v>12</v>
      </c>
      <c r="E129" s="2" t="s">
        <v>63</v>
      </c>
      <c r="F129" s="2" t="s">
        <v>170</v>
      </c>
      <c r="G129" s="2" t="s">
        <v>15</v>
      </c>
      <c r="H129" s="2" t="s">
        <v>27</v>
      </c>
      <c r="I129" s="2"/>
    </row>
    <row r="130" spans="1:9" ht="50" x14ac:dyDescent="0.35">
      <c r="A130" s="3" t="s">
        <v>353</v>
      </c>
      <c r="B130" s="3" t="s">
        <v>10</v>
      </c>
      <c r="C130" s="3" t="s">
        <v>354</v>
      </c>
      <c r="D130" s="3" t="s">
        <v>355</v>
      </c>
      <c r="E130" s="3" t="s">
        <v>356</v>
      </c>
      <c r="F130" s="3" t="s">
        <v>50</v>
      </c>
      <c r="G130" s="3" t="s">
        <v>23</v>
      </c>
      <c r="H130" s="3" t="s">
        <v>87</v>
      </c>
      <c r="I130" s="3"/>
    </row>
    <row r="131" spans="1:9" ht="50" x14ac:dyDescent="0.35">
      <c r="A131" s="3" t="s">
        <v>353</v>
      </c>
      <c r="B131" s="3" t="s">
        <v>10</v>
      </c>
      <c r="C131" s="3" t="s">
        <v>357</v>
      </c>
      <c r="D131" s="3" t="s">
        <v>30</v>
      </c>
      <c r="E131" s="3" t="s">
        <v>326</v>
      </c>
      <c r="F131" s="3" t="s">
        <v>50</v>
      </c>
      <c r="G131" s="3" t="s">
        <v>23</v>
      </c>
      <c r="H131" s="3" t="s">
        <v>24</v>
      </c>
      <c r="I131" s="3"/>
    </row>
    <row r="132" spans="1:9" ht="50" x14ac:dyDescent="0.35">
      <c r="A132" s="2" t="s">
        <v>358</v>
      </c>
      <c r="B132" s="2" t="s">
        <v>10</v>
      </c>
      <c r="C132" s="2" t="s">
        <v>359</v>
      </c>
      <c r="D132" s="2" t="s">
        <v>38</v>
      </c>
      <c r="E132" s="2" t="s">
        <v>360</v>
      </c>
      <c r="F132" s="2" t="s">
        <v>38</v>
      </c>
      <c r="G132" s="2" t="s">
        <v>23</v>
      </c>
      <c r="H132" s="2" t="s">
        <v>27</v>
      </c>
      <c r="I132" s="2"/>
    </row>
    <row r="133" spans="1:9" ht="50" x14ac:dyDescent="0.35">
      <c r="A133" s="2" t="s">
        <v>358</v>
      </c>
      <c r="B133" s="2" t="s">
        <v>10</v>
      </c>
      <c r="C133" s="2" t="s">
        <v>361</v>
      </c>
      <c r="D133" s="2" t="s">
        <v>38</v>
      </c>
      <c r="E133" s="2" t="s">
        <v>362</v>
      </c>
      <c r="F133" s="2" t="s">
        <v>38</v>
      </c>
      <c r="G133" s="2" t="s">
        <v>23</v>
      </c>
      <c r="H133" s="2" t="s">
        <v>27</v>
      </c>
      <c r="I133" s="2"/>
    </row>
    <row r="134" spans="1:9" ht="50" x14ac:dyDescent="0.35">
      <c r="A134" s="3" t="s">
        <v>363</v>
      </c>
      <c r="B134" s="3" t="s">
        <v>10</v>
      </c>
      <c r="C134" s="3" t="s">
        <v>364</v>
      </c>
      <c r="D134" s="3" t="s">
        <v>12</v>
      </c>
      <c r="E134" s="3" t="s">
        <v>365</v>
      </c>
      <c r="F134" s="3" t="s">
        <v>366</v>
      </c>
      <c r="G134" s="3" t="s">
        <v>15</v>
      </c>
      <c r="H134" s="3" t="s">
        <v>27</v>
      </c>
      <c r="I134" s="3"/>
    </row>
    <row r="135" spans="1:9" ht="50" x14ac:dyDescent="0.35">
      <c r="A135" s="3" t="s">
        <v>363</v>
      </c>
      <c r="B135" s="3" t="s">
        <v>10</v>
      </c>
      <c r="C135" s="3" t="s">
        <v>367</v>
      </c>
      <c r="D135" s="3" t="s">
        <v>178</v>
      </c>
      <c r="E135" s="3" t="s">
        <v>368</v>
      </c>
      <c r="F135" s="3" t="s">
        <v>366</v>
      </c>
      <c r="G135" s="3" t="s">
        <v>15</v>
      </c>
      <c r="H135" s="3" t="s">
        <v>27</v>
      </c>
      <c r="I135" s="3"/>
    </row>
    <row r="136" spans="1:9" ht="50" x14ac:dyDescent="0.35">
      <c r="A136" s="2" t="s">
        <v>369</v>
      </c>
      <c r="B136" s="2" t="s">
        <v>10</v>
      </c>
      <c r="C136" s="2" t="s">
        <v>370</v>
      </c>
      <c r="D136" s="2" t="s">
        <v>38</v>
      </c>
      <c r="E136" s="2" t="s">
        <v>371</v>
      </c>
      <c r="F136" s="2" t="s">
        <v>38</v>
      </c>
      <c r="G136" s="2" t="s">
        <v>23</v>
      </c>
      <c r="H136" s="2" t="s">
        <v>27</v>
      </c>
      <c r="I136" s="2"/>
    </row>
    <row r="137" spans="1:9" ht="50" x14ac:dyDescent="0.35">
      <c r="A137" s="2" t="s">
        <v>369</v>
      </c>
      <c r="B137" s="2" t="s">
        <v>10</v>
      </c>
      <c r="C137" s="2" t="s">
        <v>372</v>
      </c>
      <c r="D137" s="2" t="s">
        <v>38</v>
      </c>
      <c r="E137" s="2" t="s">
        <v>373</v>
      </c>
      <c r="F137" s="2" t="s">
        <v>38</v>
      </c>
      <c r="G137" s="2" t="s">
        <v>23</v>
      </c>
      <c r="H137" s="2" t="s">
        <v>27</v>
      </c>
      <c r="I137" s="2"/>
    </row>
    <row r="138" spans="1:9" ht="50" x14ac:dyDescent="0.35">
      <c r="A138" s="3" t="s">
        <v>374</v>
      </c>
      <c r="B138" s="3" t="s">
        <v>10</v>
      </c>
      <c r="C138" s="3" t="s">
        <v>375</v>
      </c>
      <c r="D138" s="3" t="s">
        <v>376</v>
      </c>
      <c r="E138" s="3" t="s">
        <v>377</v>
      </c>
      <c r="F138" s="3" t="s">
        <v>376</v>
      </c>
      <c r="G138" s="3" t="s">
        <v>23</v>
      </c>
      <c r="H138" s="3" t="s">
        <v>132</v>
      </c>
      <c r="I138" s="3"/>
    </row>
    <row r="139" spans="1:9" ht="50" x14ac:dyDescent="0.35">
      <c r="A139" s="3" t="s">
        <v>374</v>
      </c>
      <c r="B139" s="3" t="s">
        <v>10</v>
      </c>
      <c r="C139" s="3" t="s">
        <v>378</v>
      </c>
      <c r="D139" s="3" t="s">
        <v>376</v>
      </c>
      <c r="E139" s="3" t="s">
        <v>379</v>
      </c>
      <c r="F139" s="3" t="s">
        <v>376</v>
      </c>
      <c r="G139" s="3" t="s">
        <v>23</v>
      </c>
      <c r="H139" s="3" t="s">
        <v>69</v>
      </c>
      <c r="I139" s="3"/>
    </row>
    <row r="140" spans="1:9" ht="50" x14ac:dyDescent="0.35">
      <c r="A140" s="2" t="s">
        <v>380</v>
      </c>
      <c r="B140" s="2" t="s">
        <v>10</v>
      </c>
      <c r="C140" s="2" t="s">
        <v>381</v>
      </c>
      <c r="D140" s="2" t="s">
        <v>91</v>
      </c>
      <c r="E140" s="2" t="s">
        <v>382</v>
      </c>
      <c r="F140" s="2" t="s">
        <v>170</v>
      </c>
      <c r="G140" s="2" t="s">
        <v>15</v>
      </c>
      <c r="H140" s="2" t="s">
        <v>132</v>
      </c>
      <c r="I140" s="2"/>
    </row>
    <row r="141" spans="1:9" ht="50" x14ac:dyDescent="0.35">
      <c r="A141" s="2" t="s">
        <v>380</v>
      </c>
      <c r="B141" s="2" t="s">
        <v>10</v>
      </c>
      <c r="C141" s="2" t="s">
        <v>383</v>
      </c>
      <c r="D141" s="2" t="s">
        <v>12</v>
      </c>
      <c r="E141" s="2" t="s">
        <v>63</v>
      </c>
      <c r="F141" s="2" t="s">
        <v>170</v>
      </c>
      <c r="G141" s="2" t="s">
        <v>15</v>
      </c>
      <c r="H141" s="2" t="s">
        <v>132</v>
      </c>
      <c r="I141" s="2"/>
    </row>
    <row r="142" spans="1:9" ht="25" x14ac:dyDescent="0.35">
      <c r="A142" s="3" t="s">
        <v>384</v>
      </c>
      <c r="B142" s="3" t="s">
        <v>385</v>
      </c>
      <c r="C142" s="3" t="s">
        <v>386</v>
      </c>
      <c r="D142" s="3" t="s">
        <v>12</v>
      </c>
      <c r="E142" s="3" t="s">
        <v>387</v>
      </c>
      <c r="F142" s="3" t="s">
        <v>12</v>
      </c>
      <c r="G142" s="3" t="s">
        <v>23</v>
      </c>
      <c r="H142" s="3" t="s">
        <v>214</v>
      </c>
      <c r="I142" s="3" t="s">
        <v>388</v>
      </c>
    </row>
    <row r="143" spans="1:9" ht="25" x14ac:dyDescent="0.35">
      <c r="A143" s="3" t="s">
        <v>384</v>
      </c>
      <c r="B143" s="3" t="s">
        <v>385</v>
      </c>
      <c r="C143" s="3" t="s">
        <v>389</v>
      </c>
      <c r="D143" s="3" t="s">
        <v>12</v>
      </c>
      <c r="E143" s="3" t="s">
        <v>390</v>
      </c>
      <c r="F143" s="3" t="s">
        <v>12</v>
      </c>
      <c r="G143" s="3" t="s">
        <v>23</v>
      </c>
      <c r="H143" s="3" t="s">
        <v>214</v>
      </c>
      <c r="I143" s="3" t="s">
        <v>388</v>
      </c>
    </row>
    <row r="144" spans="1:9" ht="25" x14ac:dyDescent="0.35">
      <c r="A144" s="2" t="s">
        <v>391</v>
      </c>
      <c r="B144" s="2" t="s">
        <v>385</v>
      </c>
      <c r="C144" s="2" t="s">
        <v>392</v>
      </c>
      <c r="D144" s="2" t="s">
        <v>12</v>
      </c>
      <c r="E144" s="2" t="s">
        <v>393</v>
      </c>
      <c r="F144" s="2" t="s">
        <v>32</v>
      </c>
      <c r="G144" s="2" t="s">
        <v>15</v>
      </c>
      <c r="H144" s="2" t="s">
        <v>16</v>
      </c>
      <c r="I144" s="2" t="s">
        <v>394</v>
      </c>
    </row>
    <row r="145" spans="1:9" ht="25" x14ac:dyDescent="0.35">
      <c r="A145" s="2" t="s">
        <v>391</v>
      </c>
      <c r="B145" s="2" t="s">
        <v>385</v>
      </c>
      <c r="C145" s="2" t="s">
        <v>395</v>
      </c>
      <c r="D145" s="2" t="s">
        <v>30</v>
      </c>
      <c r="E145" s="2" t="s">
        <v>396</v>
      </c>
      <c r="F145" s="2" t="s">
        <v>32</v>
      </c>
      <c r="G145" s="2" t="s">
        <v>15</v>
      </c>
      <c r="H145" s="2" t="s">
        <v>35</v>
      </c>
      <c r="I145" s="2" t="s">
        <v>394</v>
      </c>
    </row>
    <row r="146" spans="1:9" ht="25" x14ac:dyDescent="0.35">
      <c r="A146" s="3" t="s">
        <v>397</v>
      </c>
      <c r="B146" s="3" t="s">
        <v>385</v>
      </c>
      <c r="C146" s="7" t="s">
        <v>398</v>
      </c>
      <c r="D146" s="3" t="s">
        <v>30</v>
      </c>
      <c r="E146" s="3" t="s">
        <v>399</v>
      </c>
      <c r="F146" s="3" t="s">
        <v>400</v>
      </c>
      <c r="G146" s="3" t="s">
        <v>15</v>
      </c>
      <c r="H146" s="3" t="s">
        <v>69</v>
      </c>
      <c r="I146" s="11" t="s">
        <v>939</v>
      </c>
    </row>
    <row r="147" spans="1:9" ht="25" x14ac:dyDescent="0.35">
      <c r="A147" s="3" t="s">
        <v>397</v>
      </c>
      <c r="B147" s="3" t="s">
        <v>385</v>
      </c>
      <c r="C147" s="7" t="s">
        <v>401</v>
      </c>
      <c r="D147" s="3" t="s">
        <v>91</v>
      </c>
      <c r="E147" s="3" t="s">
        <v>402</v>
      </c>
      <c r="F147" s="3" t="s">
        <v>400</v>
      </c>
      <c r="G147" s="3" t="s">
        <v>15</v>
      </c>
      <c r="H147" s="3" t="s">
        <v>87</v>
      </c>
      <c r="I147" s="11" t="s">
        <v>939</v>
      </c>
    </row>
    <row r="148" spans="1:9" ht="25" x14ac:dyDescent="0.35">
      <c r="A148" s="2" t="s">
        <v>403</v>
      </c>
      <c r="B148" s="2" t="s">
        <v>385</v>
      </c>
      <c r="C148" s="2" t="s">
        <v>404</v>
      </c>
      <c r="D148" s="2" t="s">
        <v>91</v>
      </c>
      <c r="E148" s="2" t="s">
        <v>405</v>
      </c>
      <c r="F148" s="2" t="s">
        <v>91</v>
      </c>
      <c r="G148" s="2" t="s">
        <v>23</v>
      </c>
      <c r="H148" s="2" t="s">
        <v>24</v>
      </c>
      <c r="I148" s="2" t="s">
        <v>406</v>
      </c>
    </row>
    <row r="149" spans="1:9" ht="25" x14ac:dyDescent="0.35">
      <c r="A149" s="2" t="s">
        <v>403</v>
      </c>
      <c r="B149" s="2" t="s">
        <v>385</v>
      </c>
      <c r="C149" s="2" t="s">
        <v>407</v>
      </c>
      <c r="D149" s="2" t="s">
        <v>91</v>
      </c>
      <c r="E149" s="2" t="s">
        <v>408</v>
      </c>
      <c r="F149" s="2" t="s">
        <v>91</v>
      </c>
      <c r="G149" s="2" t="s">
        <v>23</v>
      </c>
      <c r="H149" s="2" t="s">
        <v>24</v>
      </c>
      <c r="I149" s="2" t="s">
        <v>406</v>
      </c>
    </row>
    <row r="150" spans="1:9" ht="37.5" x14ac:dyDescent="0.35">
      <c r="A150" s="3" t="s">
        <v>409</v>
      </c>
      <c r="B150" s="3" t="s">
        <v>385</v>
      </c>
      <c r="C150" s="7" t="s">
        <v>410</v>
      </c>
      <c r="D150" s="3" t="s">
        <v>54</v>
      </c>
      <c r="E150" s="3" t="s">
        <v>411</v>
      </c>
      <c r="F150" s="3" t="s">
        <v>366</v>
      </c>
      <c r="G150" s="3" t="s">
        <v>15</v>
      </c>
      <c r="H150" s="3" t="s">
        <v>27</v>
      </c>
      <c r="I150" s="11" t="s">
        <v>940</v>
      </c>
    </row>
    <row r="151" spans="1:9" ht="37.5" x14ac:dyDescent="0.35">
      <c r="A151" s="3" t="s">
        <v>409</v>
      </c>
      <c r="B151" s="3" t="s">
        <v>385</v>
      </c>
      <c r="C151" s="7" t="s">
        <v>412</v>
      </c>
      <c r="D151" s="3" t="s">
        <v>178</v>
      </c>
      <c r="E151" s="3" t="s">
        <v>413</v>
      </c>
      <c r="F151" s="3" t="s">
        <v>366</v>
      </c>
      <c r="G151" s="3" t="s">
        <v>15</v>
      </c>
      <c r="H151" s="3" t="s">
        <v>27</v>
      </c>
      <c r="I151" s="11" t="s">
        <v>940</v>
      </c>
    </row>
    <row r="152" spans="1:9" ht="25" x14ac:dyDescent="0.35">
      <c r="A152" s="2" t="s">
        <v>414</v>
      </c>
      <c r="B152" s="2" t="s">
        <v>385</v>
      </c>
      <c r="C152" s="9" t="s">
        <v>415</v>
      </c>
      <c r="D152" s="2" t="s">
        <v>18</v>
      </c>
      <c r="E152" s="2" t="s">
        <v>416</v>
      </c>
      <c r="F152" s="2" t="s">
        <v>262</v>
      </c>
      <c r="G152" s="2" t="s">
        <v>15</v>
      </c>
      <c r="H152" s="2" t="s">
        <v>16</v>
      </c>
      <c r="I152" s="11" t="s">
        <v>939</v>
      </c>
    </row>
    <row r="153" spans="1:9" ht="25" x14ac:dyDescent="0.35">
      <c r="A153" s="2" t="s">
        <v>414</v>
      </c>
      <c r="B153" s="2" t="s">
        <v>385</v>
      </c>
      <c r="C153" s="9" t="s">
        <v>417</v>
      </c>
      <c r="D153" s="2" t="s">
        <v>30</v>
      </c>
      <c r="E153" s="2" t="s">
        <v>418</v>
      </c>
      <c r="F153" s="2" t="s">
        <v>262</v>
      </c>
      <c r="G153" s="2" t="s">
        <v>15</v>
      </c>
      <c r="H153" s="2" t="s">
        <v>35</v>
      </c>
      <c r="I153" s="11" t="s">
        <v>939</v>
      </c>
    </row>
    <row r="154" spans="1:9" ht="25" x14ac:dyDescent="0.35">
      <c r="A154" s="3" t="s">
        <v>419</v>
      </c>
      <c r="B154" s="3" t="s">
        <v>385</v>
      </c>
      <c r="C154" s="3" t="s">
        <v>420</v>
      </c>
      <c r="D154" s="3" t="s">
        <v>91</v>
      </c>
      <c r="E154" s="3" t="s">
        <v>421</v>
      </c>
      <c r="F154" s="3" t="s">
        <v>170</v>
      </c>
      <c r="G154" s="3" t="s">
        <v>15</v>
      </c>
      <c r="H154" s="3" t="s">
        <v>132</v>
      </c>
      <c r="I154" s="3" t="s">
        <v>422</v>
      </c>
    </row>
    <row r="155" spans="1:9" ht="25" x14ac:dyDescent="0.35">
      <c r="A155" s="3" t="s">
        <v>419</v>
      </c>
      <c r="B155" s="3" t="s">
        <v>385</v>
      </c>
      <c r="C155" s="3" t="s">
        <v>423</v>
      </c>
      <c r="D155" s="3" t="s">
        <v>12</v>
      </c>
      <c r="E155" s="3" t="s">
        <v>424</v>
      </c>
      <c r="F155" s="3" t="s">
        <v>170</v>
      </c>
      <c r="G155" s="3" t="s">
        <v>15</v>
      </c>
      <c r="H155" s="3" t="s">
        <v>132</v>
      </c>
      <c r="I155" s="3" t="s">
        <v>422</v>
      </c>
    </row>
    <row r="156" spans="1:9" ht="25" x14ac:dyDescent="0.35">
      <c r="A156" s="2" t="s">
        <v>425</v>
      </c>
      <c r="B156" s="2" t="s">
        <v>385</v>
      </c>
      <c r="C156" s="2" t="s">
        <v>426</v>
      </c>
      <c r="D156" s="2" t="s">
        <v>38</v>
      </c>
      <c r="E156" s="2" t="s">
        <v>427</v>
      </c>
      <c r="F156" s="2" t="s">
        <v>38</v>
      </c>
      <c r="G156" s="2" t="s">
        <v>23</v>
      </c>
      <c r="H156" s="2" t="s">
        <v>27</v>
      </c>
      <c r="I156" s="2" t="s">
        <v>428</v>
      </c>
    </row>
    <row r="157" spans="1:9" ht="25" x14ac:dyDescent="0.35">
      <c r="A157" s="2" t="s">
        <v>425</v>
      </c>
      <c r="B157" s="2" t="s">
        <v>385</v>
      </c>
      <c r="C157" s="2" t="s">
        <v>429</v>
      </c>
      <c r="D157" s="2" t="s">
        <v>38</v>
      </c>
      <c r="E157" s="2" t="s">
        <v>430</v>
      </c>
      <c r="F157" s="2" t="s">
        <v>38</v>
      </c>
      <c r="G157" s="2" t="s">
        <v>23</v>
      </c>
      <c r="H157" s="2" t="s">
        <v>27</v>
      </c>
      <c r="I157" s="2" t="s">
        <v>428</v>
      </c>
    </row>
    <row r="158" spans="1:9" ht="25" x14ac:dyDescent="0.35">
      <c r="A158" s="2" t="s">
        <v>425</v>
      </c>
      <c r="B158" s="2" t="s">
        <v>385</v>
      </c>
      <c r="C158" s="2" t="s">
        <v>431</v>
      </c>
      <c r="D158" s="2" t="s">
        <v>38</v>
      </c>
      <c r="E158" s="2" t="s">
        <v>432</v>
      </c>
      <c r="F158" s="2" t="s">
        <v>38</v>
      </c>
      <c r="G158" s="2" t="s">
        <v>23</v>
      </c>
      <c r="H158" s="2" t="s">
        <v>27</v>
      </c>
      <c r="I158" s="2" t="s">
        <v>428</v>
      </c>
    </row>
    <row r="159" spans="1:9" ht="25" x14ac:dyDescent="0.35">
      <c r="A159" s="2" t="s">
        <v>425</v>
      </c>
      <c r="B159" s="2" t="s">
        <v>385</v>
      </c>
      <c r="C159" s="2" t="s">
        <v>433</v>
      </c>
      <c r="D159" s="2" t="s">
        <v>38</v>
      </c>
      <c r="E159" s="2" t="s">
        <v>430</v>
      </c>
      <c r="F159" s="2" t="s">
        <v>38</v>
      </c>
      <c r="G159" s="2" t="s">
        <v>23</v>
      </c>
      <c r="H159" s="2" t="s">
        <v>27</v>
      </c>
      <c r="I159" s="2" t="s">
        <v>428</v>
      </c>
    </row>
    <row r="160" spans="1:9" ht="25" x14ac:dyDescent="0.35">
      <c r="A160" s="3" t="s">
        <v>434</v>
      </c>
      <c r="B160" s="3" t="s">
        <v>385</v>
      </c>
      <c r="C160" s="3" t="s">
        <v>435</v>
      </c>
      <c r="D160" s="3" t="s">
        <v>38</v>
      </c>
      <c r="E160" s="3" t="s">
        <v>436</v>
      </c>
      <c r="F160" s="3" t="s">
        <v>148</v>
      </c>
      <c r="G160" s="3" t="s">
        <v>15</v>
      </c>
      <c r="H160" s="3" t="s">
        <v>27</v>
      </c>
      <c r="I160" s="3" t="s">
        <v>437</v>
      </c>
    </row>
    <row r="161" spans="1:9" ht="25" x14ac:dyDescent="0.35">
      <c r="A161" s="3" t="s">
        <v>434</v>
      </c>
      <c r="B161" s="3" t="s">
        <v>385</v>
      </c>
      <c r="C161" s="3" t="s">
        <v>438</v>
      </c>
      <c r="D161" s="3" t="s">
        <v>38</v>
      </c>
      <c r="E161" s="3" t="s">
        <v>439</v>
      </c>
      <c r="F161" s="3" t="s">
        <v>148</v>
      </c>
      <c r="G161" s="3" t="s">
        <v>15</v>
      </c>
      <c r="H161" s="3" t="s">
        <v>27</v>
      </c>
      <c r="I161" s="3" t="s">
        <v>437</v>
      </c>
    </row>
    <row r="162" spans="1:9" ht="25" x14ac:dyDescent="0.35">
      <c r="A162" s="3" t="s">
        <v>434</v>
      </c>
      <c r="B162" s="3" t="s">
        <v>385</v>
      </c>
      <c r="C162" s="3" t="s">
        <v>440</v>
      </c>
      <c r="D162" s="3" t="s">
        <v>30</v>
      </c>
      <c r="E162" s="3" t="s">
        <v>441</v>
      </c>
      <c r="F162" s="3" t="s">
        <v>148</v>
      </c>
      <c r="G162" s="3" t="s">
        <v>15</v>
      </c>
      <c r="H162" s="3" t="s">
        <v>27</v>
      </c>
      <c r="I162" s="3" t="s">
        <v>437</v>
      </c>
    </row>
    <row r="163" spans="1:9" ht="25" x14ac:dyDescent="0.35">
      <c r="A163" s="2" t="s">
        <v>442</v>
      </c>
      <c r="B163" s="2" t="s">
        <v>385</v>
      </c>
      <c r="C163" s="2" t="s">
        <v>443</v>
      </c>
      <c r="D163" s="2" t="s">
        <v>38</v>
      </c>
      <c r="E163" s="2" t="s">
        <v>444</v>
      </c>
      <c r="F163" s="2" t="s">
        <v>38</v>
      </c>
      <c r="G163" s="2" t="s">
        <v>23</v>
      </c>
      <c r="H163" s="2" t="s">
        <v>24</v>
      </c>
      <c r="I163" s="2" t="s">
        <v>445</v>
      </c>
    </row>
    <row r="164" spans="1:9" ht="25" x14ac:dyDescent="0.35">
      <c r="A164" s="2" t="s">
        <v>442</v>
      </c>
      <c r="B164" s="2" t="s">
        <v>385</v>
      </c>
      <c r="C164" s="2" t="s">
        <v>446</v>
      </c>
      <c r="D164" s="2" t="s">
        <v>38</v>
      </c>
      <c r="E164" s="2" t="s">
        <v>447</v>
      </c>
      <c r="F164" s="2" t="s">
        <v>38</v>
      </c>
      <c r="G164" s="2" t="s">
        <v>23</v>
      </c>
      <c r="H164" s="2" t="s">
        <v>24</v>
      </c>
      <c r="I164" s="2" t="s">
        <v>445</v>
      </c>
    </row>
    <row r="165" spans="1:9" ht="25" x14ac:dyDescent="0.35">
      <c r="A165" s="3" t="s">
        <v>448</v>
      </c>
      <c r="B165" s="3" t="s">
        <v>385</v>
      </c>
      <c r="C165" s="7" t="s">
        <v>449</v>
      </c>
      <c r="D165" s="3" t="s">
        <v>38</v>
      </c>
      <c r="E165" s="3" t="s">
        <v>450</v>
      </c>
      <c r="F165" s="3" t="s">
        <v>38</v>
      </c>
      <c r="G165" s="3" t="s">
        <v>23</v>
      </c>
      <c r="H165" s="3" t="s">
        <v>27</v>
      </c>
      <c r="I165" s="3" t="s">
        <v>451</v>
      </c>
    </row>
    <row r="166" spans="1:9" ht="25" x14ac:dyDescent="0.35">
      <c r="A166" s="3" t="s">
        <v>448</v>
      </c>
      <c r="B166" s="3" t="s">
        <v>385</v>
      </c>
      <c r="C166" s="7" t="s">
        <v>452</v>
      </c>
      <c r="D166" s="3" t="s">
        <v>38</v>
      </c>
      <c r="E166" s="3" t="s">
        <v>453</v>
      </c>
      <c r="F166" s="3" t="s">
        <v>38</v>
      </c>
      <c r="G166" s="3" t="s">
        <v>23</v>
      </c>
      <c r="H166" s="3" t="s">
        <v>27</v>
      </c>
      <c r="I166" s="3" t="s">
        <v>451</v>
      </c>
    </row>
    <row r="167" spans="1:9" ht="25" x14ac:dyDescent="0.35">
      <c r="A167" s="2" t="s">
        <v>454</v>
      </c>
      <c r="B167" s="2" t="s">
        <v>385</v>
      </c>
      <c r="C167" s="2" t="s">
        <v>455</v>
      </c>
      <c r="D167" s="2" t="s">
        <v>91</v>
      </c>
      <c r="E167" s="2" t="s">
        <v>456</v>
      </c>
      <c r="F167" s="2" t="s">
        <v>336</v>
      </c>
      <c r="G167" s="2" t="s">
        <v>15</v>
      </c>
      <c r="H167" s="2" t="s">
        <v>35</v>
      </c>
      <c r="I167" s="2" t="s">
        <v>457</v>
      </c>
    </row>
    <row r="168" spans="1:9" ht="25" x14ac:dyDescent="0.35">
      <c r="A168" s="2" t="s">
        <v>454</v>
      </c>
      <c r="B168" s="2" t="s">
        <v>385</v>
      </c>
      <c r="C168" s="2" t="s">
        <v>458</v>
      </c>
      <c r="D168" s="2" t="s">
        <v>18</v>
      </c>
      <c r="E168" s="2" t="s">
        <v>459</v>
      </c>
      <c r="F168" s="2" t="s">
        <v>336</v>
      </c>
      <c r="G168" s="2" t="s">
        <v>15</v>
      </c>
      <c r="H168" s="2" t="s">
        <v>16</v>
      </c>
      <c r="I168" s="2" t="s">
        <v>457</v>
      </c>
    </row>
    <row r="169" spans="1:9" ht="25" x14ac:dyDescent="0.35">
      <c r="A169" s="3" t="s">
        <v>460</v>
      </c>
      <c r="B169" s="3" t="s">
        <v>385</v>
      </c>
      <c r="C169" s="10" t="s">
        <v>461</v>
      </c>
      <c r="D169" s="3" t="s">
        <v>38</v>
      </c>
      <c r="E169" s="3" t="s">
        <v>462</v>
      </c>
      <c r="F169" s="3" t="s">
        <v>86</v>
      </c>
      <c r="G169" s="3" t="s">
        <v>15</v>
      </c>
      <c r="H169" s="3" t="s">
        <v>27</v>
      </c>
      <c r="I169" s="3" t="s">
        <v>463</v>
      </c>
    </row>
    <row r="170" spans="1:9" ht="25" x14ac:dyDescent="0.35">
      <c r="A170" s="3" t="s">
        <v>460</v>
      </c>
      <c r="B170" s="3" t="s">
        <v>385</v>
      </c>
      <c r="C170" s="10" t="s">
        <v>464</v>
      </c>
      <c r="D170" s="3" t="s">
        <v>38</v>
      </c>
      <c r="E170" s="3" t="s">
        <v>465</v>
      </c>
      <c r="F170" s="3" t="s">
        <v>86</v>
      </c>
      <c r="G170" s="3" t="s">
        <v>15</v>
      </c>
      <c r="H170" s="3" t="s">
        <v>27</v>
      </c>
      <c r="I170" s="3" t="s">
        <v>463</v>
      </c>
    </row>
    <row r="171" spans="1:9" ht="25" x14ac:dyDescent="0.35">
      <c r="A171" s="3" t="s">
        <v>460</v>
      </c>
      <c r="B171" s="3" t="s">
        <v>385</v>
      </c>
      <c r="C171" s="10" t="s">
        <v>466</v>
      </c>
      <c r="D171" s="3" t="s">
        <v>38</v>
      </c>
      <c r="E171" s="3" t="s">
        <v>467</v>
      </c>
      <c r="F171" s="3" t="s">
        <v>86</v>
      </c>
      <c r="G171" s="3" t="s">
        <v>15</v>
      </c>
      <c r="H171" s="3" t="s">
        <v>27</v>
      </c>
      <c r="I171" s="3" t="s">
        <v>463</v>
      </c>
    </row>
    <row r="172" spans="1:9" ht="25" x14ac:dyDescent="0.35">
      <c r="A172" s="3" t="s">
        <v>460</v>
      </c>
      <c r="B172" s="3" t="s">
        <v>385</v>
      </c>
      <c r="C172" s="10" t="s">
        <v>468</v>
      </c>
      <c r="D172" s="3" t="s">
        <v>12</v>
      </c>
      <c r="E172" s="3" t="s">
        <v>469</v>
      </c>
      <c r="F172" s="3" t="s">
        <v>86</v>
      </c>
      <c r="G172" s="3" t="s">
        <v>15</v>
      </c>
      <c r="H172" s="3" t="s">
        <v>24</v>
      </c>
      <c r="I172" s="3" t="s">
        <v>463</v>
      </c>
    </row>
    <row r="173" spans="1:9" ht="25" x14ac:dyDescent="0.35">
      <c r="A173" s="2" t="s">
        <v>470</v>
      </c>
      <c r="B173" s="2" t="s">
        <v>385</v>
      </c>
      <c r="C173" s="2" t="s">
        <v>471</v>
      </c>
      <c r="D173" s="2" t="s">
        <v>38</v>
      </c>
      <c r="E173" s="2" t="s">
        <v>462</v>
      </c>
      <c r="F173" s="2" t="s">
        <v>38</v>
      </c>
      <c r="G173" s="2" t="s">
        <v>23</v>
      </c>
      <c r="H173" s="2" t="s">
        <v>27</v>
      </c>
      <c r="I173" s="2" t="s">
        <v>472</v>
      </c>
    </row>
    <row r="174" spans="1:9" ht="25" x14ac:dyDescent="0.35">
      <c r="A174" s="2" t="s">
        <v>470</v>
      </c>
      <c r="B174" s="2" t="s">
        <v>385</v>
      </c>
      <c r="C174" s="2" t="s">
        <v>473</v>
      </c>
      <c r="D174" s="2" t="s">
        <v>38</v>
      </c>
      <c r="E174" s="2" t="s">
        <v>474</v>
      </c>
      <c r="F174" s="2" t="s">
        <v>38</v>
      </c>
      <c r="G174" s="2" t="s">
        <v>23</v>
      </c>
      <c r="H174" s="2" t="s">
        <v>27</v>
      </c>
      <c r="I174" s="2" t="s">
        <v>472</v>
      </c>
    </row>
    <row r="175" spans="1:9" ht="25" x14ac:dyDescent="0.35">
      <c r="A175" s="2" t="s">
        <v>470</v>
      </c>
      <c r="B175" s="2" t="s">
        <v>385</v>
      </c>
      <c r="C175" s="2" t="s">
        <v>475</v>
      </c>
      <c r="D175" s="2" t="s">
        <v>38</v>
      </c>
      <c r="E175" s="2" t="s">
        <v>476</v>
      </c>
      <c r="F175" s="2" t="s">
        <v>38</v>
      </c>
      <c r="G175" s="2" t="s">
        <v>23</v>
      </c>
      <c r="H175" s="2" t="s">
        <v>27</v>
      </c>
      <c r="I175" s="2" t="s">
        <v>472</v>
      </c>
    </row>
    <row r="176" spans="1:9" ht="25" x14ac:dyDescent="0.35">
      <c r="A176" s="2" t="s">
        <v>470</v>
      </c>
      <c r="B176" s="2" t="s">
        <v>385</v>
      </c>
      <c r="C176" s="2" t="s">
        <v>477</v>
      </c>
      <c r="D176" s="2" t="s">
        <v>38</v>
      </c>
      <c r="E176" s="2" t="s">
        <v>110</v>
      </c>
      <c r="F176" s="2" t="s">
        <v>38</v>
      </c>
      <c r="G176" s="2" t="s">
        <v>23</v>
      </c>
      <c r="H176" s="2" t="s">
        <v>27</v>
      </c>
      <c r="I176" s="2" t="s">
        <v>472</v>
      </c>
    </row>
    <row r="177" spans="1:9" ht="25" x14ac:dyDescent="0.35">
      <c r="A177" s="3" t="s">
        <v>478</v>
      </c>
      <c r="B177" s="3" t="s">
        <v>385</v>
      </c>
      <c r="C177" s="3" t="s">
        <v>479</v>
      </c>
      <c r="D177" s="3" t="s">
        <v>91</v>
      </c>
      <c r="E177" s="3" t="s">
        <v>480</v>
      </c>
      <c r="F177" s="3" t="s">
        <v>274</v>
      </c>
      <c r="G177" s="3" t="s">
        <v>23</v>
      </c>
      <c r="H177" s="3" t="s">
        <v>27</v>
      </c>
      <c r="I177" s="3" t="s">
        <v>481</v>
      </c>
    </row>
    <row r="178" spans="1:9" ht="25" x14ac:dyDescent="0.35">
      <c r="A178" s="3" t="s">
        <v>478</v>
      </c>
      <c r="B178" s="3" t="s">
        <v>385</v>
      </c>
      <c r="C178" s="3" t="s">
        <v>482</v>
      </c>
      <c r="D178" s="3" t="s">
        <v>483</v>
      </c>
      <c r="E178" s="3" t="s">
        <v>484</v>
      </c>
      <c r="F178" s="3" t="s">
        <v>274</v>
      </c>
      <c r="G178" s="3" t="s">
        <v>23</v>
      </c>
      <c r="H178" s="3" t="s">
        <v>27</v>
      </c>
      <c r="I178" s="3" t="s">
        <v>481</v>
      </c>
    </row>
    <row r="179" spans="1:9" ht="25" x14ac:dyDescent="0.35">
      <c r="A179" s="2" t="s">
        <v>485</v>
      </c>
      <c r="B179" s="2" t="s">
        <v>385</v>
      </c>
      <c r="C179" s="2" t="s">
        <v>486</v>
      </c>
      <c r="D179" s="2" t="s">
        <v>38</v>
      </c>
      <c r="E179" s="2" t="s">
        <v>487</v>
      </c>
      <c r="F179" s="2" t="s">
        <v>38</v>
      </c>
      <c r="G179" s="2" t="s">
        <v>23</v>
      </c>
      <c r="H179" s="2" t="s">
        <v>27</v>
      </c>
      <c r="I179" s="2" t="s">
        <v>488</v>
      </c>
    </row>
    <row r="180" spans="1:9" ht="25" x14ac:dyDescent="0.35">
      <c r="A180" s="2" t="s">
        <v>485</v>
      </c>
      <c r="B180" s="2" t="s">
        <v>385</v>
      </c>
      <c r="C180" s="2" t="s">
        <v>489</v>
      </c>
      <c r="D180" s="2" t="s">
        <v>38</v>
      </c>
      <c r="E180" s="2" t="s">
        <v>474</v>
      </c>
      <c r="F180" s="2" t="s">
        <v>38</v>
      </c>
      <c r="G180" s="2" t="s">
        <v>23</v>
      </c>
      <c r="H180" s="2" t="s">
        <v>27</v>
      </c>
      <c r="I180" s="2" t="s">
        <v>488</v>
      </c>
    </row>
    <row r="181" spans="1:9" ht="25" x14ac:dyDescent="0.35">
      <c r="A181" s="2" t="s">
        <v>485</v>
      </c>
      <c r="B181" s="2" t="s">
        <v>385</v>
      </c>
      <c r="C181" s="2" t="s">
        <v>490</v>
      </c>
      <c r="D181" s="2" t="s">
        <v>38</v>
      </c>
      <c r="E181" s="2" t="s">
        <v>491</v>
      </c>
      <c r="F181" s="2" t="s">
        <v>38</v>
      </c>
      <c r="G181" s="2" t="s">
        <v>23</v>
      </c>
      <c r="H181" s="2" t="s">
        <v>27</v>
      </c>
      <c r="I181" s="2" t="s">
        <v>488</v>
      </c>
    </row>
    <row r="182" spans="1:9" ht="25" x14ac:dyDescent="0.35">
      <c r="A182" s="3" t="s">
        <v>492</v>
      </c>
      <c r="B182" s="3" t="s">
        <v>385</v>
      </c>
      <c r="C182" s="3" t="s">
        <v>493</v>
      </c>
      <c r="D182" s="3" t="s">
        <v>54</v>
      </c>
      <c r="E182" s="3" t="s">
        <v>494</v>
      </c>
      <c r="F182" s="3" t="s">
        <v>50</v>
      </c>
      <c r="G182" s="3" t="s">
        <v>15</v>
      </c>
      <c r="H182" s="3" t="s">
        <v>35</v>
      </c>
      <c r="I182" s="3" t="s">
        <v>495</v>
      </c>
    </row>
    <row r="183" spans="1:9" ht="25" x14ac:dyDescent="0.35">
      <c r="A183" s="3" t="s">
        <v>492</v>
      </c>
      <c r="B183" s="3" t="s">
        <v>385</v>
      </c>
      <c r="C183" s="3" t="s">
        <v>496</v>
      </c>
      <c r="D183" s="3" t="s">
        <v>12</v>
      </c>
      <c r="E183" s="3" t="s">
        <v>497</v>
      </c>
      <c r="F183" s="3" t="s">
        <v>50</v>
      </c>
      <c r="G183" s="3" t="s">
        <v>15</v>
      </c>
      <c r="H183" s="3" t="s">
        <v>35</v>
      </c>
      <c r="I183" s="3" t="s">
        <v>495</v>
      </c>
    </row>
    <row r="184" spans="1:9" ht="25" x14ac:dyDescent="0.35">
      <c r="A184" s="3" t="s">
        <v>492</v>
      </c>
      <c r="B184" s="3" t="s">
        <v>385</v>
      </c>
      <c r="C184" s="3" t="s">
        <v>498</v>
      </c>
      <c r="D184" s="3" t="s">
        <v>12</v>
      </c>
      <c r="E184" s="3" t="s">
        <v>256</v>
      </c>
      <c r="F184" s="3" t="s">
        <v>50</v>
      </c>
      <c r="G184" s="3" t="s">
        <v>15</v>
      </c>
      <c r="H184" s="3" t="s">
        <v>35</v>
      </c>
      <c r="I184" s="3" t="s">
        <v>495</v>
      </c>
    </row>
    <row r="185" spans="1:9" ht="25" x14ac:dyDescent="0.35">
      <c r="A185" s="3" t="s">
        <v>492</v>
      </c>
      <c r="B185" s="3" t="s">
        <v>385</v>
      </c>
      <c r="C185" s="3" t="s">
        <v>499</v>
      </c>
      <c r="D185" s="3" t="s">
        <v>500</v>
      </c>
      <c r="E185" s="3" t="s">
        <v>501</v>
      </c>
      <c r="F185" s="3" t="s">
        <v>50</v>
      </c>
      <c r="G185" s="3" t="s">
        <v>15</v>
      </c>
      <c r="H185" s="3" t="s">
        <v>16</v>
      </c>
      <c r="I185" s="3" t="s">
        <v>495</v>
      </c>
    </row>
    <row r="186" spans="1:9" ht="25" x14ac:dyDescent="0.35">
      <c r="A186" s="2" t="s">
        <v>502</v>
      </c>
      <c r="B186" s="2" t="s">
        <v>385</v>
      </c>
      <c r="C186" s="2" t="s">
        <v>503</v>
      </c>
      <c r="D186" s="2" t="s">
        <v>12</v>
      </c>
      <c r="E186" s="2" t="s">
        <v>504</v>
      </c>
      <c r="F186" s="2" t="s">
        <v>291</v>
      </c>
      <c r="G186" s="2" t="s">
        <v>15</v>
      </c>
      <c r="H186" s="2" t="s">
        <v>132</v>
      </c>
      <c r="I186" s="2" t="s">
        <v>505</v>
      </c>
    </row>
    <row r="187" spans="1:9" ht="37.5" x14ac:dyDescent="0.35">
      <c r="A187" s="2" t="s">
        <v>502</v>
      </c>
      <c r="B187" s="2" t="s">
        <v>385</v>
      </c>
      <c r="C187" s="2" t="s">
        <v>506</v>
      </c>
      <c r="D187" s="2" t="s">
        <v>116</v>
      </c>
      <c r="E187" s="2" t="s">
        <v>507</v>
      </c>
      <c r="F187" s="2" t="s">
        <v>291</v>
      </c>
      <c r="G187" s="2" t="s">
        <v>15</v>
      </c>
      <c r="H187" s="2" t="s">
        <v>132</v>
      </c>
      <c r="I187" s="2" t="s">
        <v>505</v>
      </c>
    </row>
    <row r="188" spans="1:9" ht="25" x14ac:dyDescent="0.35">
      <c r="A188" s="3" t="s">
        <v>508</v>
      </c>
      <c r="B188" s="3" t="s">
        <v>385</v>
      </c>
      <c r="C188" s="3" t="s">
        <v>509</v>
      </c>
      <c r="D188" s="3" t="s">
        <v>91</v>
      </c>
      <c r="E188" s="3" t="s">
        <v>510</v>
      </c>
      <c r="F188" s="3" t="s">
        <v>170</v>
      </c>
      <c r="G188" s="3" t="s">
        <v>15</v>
      </c>
      <c r="H188" s="3" t="s">
        <v>27</v>
      </c>
      <c r="I188" s="3" t="s">
        <v>511</v>
      </c>
    </row>
    <row r="189" spans="1:9" ht="25" x14ac:dyDescent="0.35">
      <c r="A189" s="3" t="s">
        <v>508</v>
      </c>
      <c r="B189" s="3" t="s">
        <v>385</v>
      </c>
      <c r="C189" s="3" t="s">
        <v>512</v>
      </c>
      <c r="D189" s="3" t="s">
        <v>12</v>
      </c>
      <c r="E189" s="3" t="s">
        <v>513</v>
      </c>
      <c r="F189" s="3" t="s">
        <v>170</v>
      </c>
      <c r="G189" s="3" t="s">
        <v>15</v>
      </c>
      <c r="H189" s="3" t="s">
        <v>27</v>
      </c>
      <c r="I189" s="3" t="s">
        <v>511</v>
      </c>
    </row>
    <row r="190" spans="1:9" ht="37.5" x14ac:dyDescent="0.35">
      <c r="A190" s="3" t="s">
        <v>508</v>
      </c>
      <c r="B190" s="3" t="s">
        <v>385</v>
      </c>
      <c r="C190" s="3" t="s">
        <v>514</v>
      </c>
      <c r="D190" s="3" t="s">
        <v>12</v>
      </c>
      <c r="E190" s="3" t="s">
        <v>515</v>
      </c>
      <c r="F190" s="3" t="s">
        <v>170</v>
      </c>
      <c r="G190" s="3" t="s">
        <v>15</v>
      </c>
      <c r="H190" s="3" t="s">
        <v>27</v>
      </c>
      <c r="I190" s="3" t="s">
        <v>511</v>
      </c>
    </row>
    <row r="191" spans="1:9" ht="25" x14ac:dyDescent="0.35">
      <c r="A191" s="3" t="s">
        <v>508</v>
      </c>
      <c r="B191" s="3" t="s">
        <v>385</v>
      </c>
      <c r="C191" s="3" t="s">
        <v>516</v>
      </c>
      <c r="D191" s="3" t="s">
        <v>91</v>
      </c>
      <c r="E191" s="3" t="s">
        <v>517</v>
      </c>
      <c r="F191" s="3" t="s">
        <v>170</v>
      </c>
      <c r="G191" s="3" t="s">
        <v>15</v>
      </c>
      <c r="H191" s="3" t="s">
        <v>27</v>
      </c>
      <c r="I191" s="3" t="s">
        <v>511</v>
      </c>
    </row>
    <row r="192" spans="1:9" ht="25" x14ac:dyDescent="0.35">
      <c r="A192" s="2" t="s">
        <v>518</v>
      </c>
      <c r="B192" s="2" t="s">
        <v>385</v>
      </c>
      <c r="C192" s="9" t="s">
        <v>519</v>
      </c>
      <c r="D192" s="2" t="s">
        <v>91</v>
      </c>
      <c r="E192" s="2" t="s">
        <v>520</v>
      </c>
      <c r="F192" s="2" t="s">
        <v>91</v>
      </c>
      <c r="G192" s="2" t="s">
        <v>23</v>
      </c>
      <c r="H192" s="2" t="s">
        <v>27</v>
      </c>
      <c r="I192" s="2" t="s">
        <v>521</v>
      </c>
    </row>
    <row r="193" spans="1:9" ht="37.5" x14ac:dyDescent="0.35">
      <c r="A193" s="2" t="s">
        <v>518</v>
      </c>
      <c r="B193" s="2" t="s">
        <v>385</v>
      </c>
      <c r="C193" s="9" t="s">
        <v>522</v>
      </c>
      <c r="D193" s="2" t="s">
        <v>91</v>
      </c>
      <c r="E193" s="2" t="s">
        <v>523</v>
      </c>
      <c r="F193" s="2" t="s">
        <v>91</v>
      </c>
      <c r="G193" s="2" t="s">
        <v>23</v>
      </c>
      <c r="H193" s="2" t="s">
        <v>27</v>
      </c>
      <c r="I193" s="2" t="s">
        <v>521</v>
      </c>
    </row>
    <row r="194" spans="1:9" ht="37.5" x14ac:dyDescent="0.35">
      <c r="A194" s="2" t="s">
        <v>518</v>
      </c>
      <c r="B194" s="2" t="s">
        <v>385</v>
      </c>
      <c r="C194" s="9" t="s">
        <v>524</v>
      </c>
      <c r="D194" s="2" t="s">
        <v>91</v>
      </c>
      <c r="E194" s="2" t="s">
        <v>525</v>
      </c>
      <c r="F194" s="2" t="s">
        <v>91</v>
      </c>
      <c r="G194" s="2" t="s">
        <v>23</v>
      </c>
      <c r="H194" s="2" t="s">
        <v>27</v>
      </c>
      <c r="I194" s="2" t="s">
        <v>521</v>
      </c>
    </row>
    <row r="195" spans="1:9" ht="25" x14ac:dyDescent="0.35">
      <c r="A195" s="3" t="s">
        <v>526</v>
      </c>
      <c r="B195" s="3" t="s">
        <v>385</v>
      </c>
      <c r="C195" s="3" t="s">
        <v>527</v>
      </c>
      <c r="D195" s="3" t="s">
        <v>30</v>
      </c>
      <c r="E195" s="3" t="s">
        <v>528</v>
      </c>
      <c r="F195" s="3" t="s">
        <v>50</v>
      </c>
      <c r="G195" s="3" t="s">
        <v>15</v>
      </c>
      <c r="H195" s="3" t="s">
        <v>27</v>
      </c>
      <c r="I195" s="3" t="s">
        <v>529</v>
      </c>
    </row>
    <row r="196" spans="1:9" ht="37.5" x14ac:dyDescent="0.35">
      <c r="A196" s="3" t="s">
        <v>526</v>
      </c>
      <c r="B196" s="3" t="s">
        <v>385</v>
      </c>
      <c r="C196" s="3" t="s">
        <v>530</v>
      </c>
      <c r="D196" s="3" t="s">
        <v>59</v>
      </c>
      <c r="E196" s="3" t="s">
        <v>531</v>
      </c>
      <c r="F196" s="3" t="s">
        <v>50</v>
      </c>
      <c r="G196" s="3" t="s">
        <v>15</v>
      </c>
      <c r="H196" s="3" t="s">
        <v>27</v>
      </c>
      <c r="I196" s="3" t="s">
        <v>529</v>
      </c>
    </row>
    <row r="197" spans="1:9" ht="25" x14ac:dyDescent="0.35">
      <c r="A197" s="2" t="s">
        <v>532</v>
      </c>
      <c r="B197" s="2" t="s">
        <v>385</v>
      </c>
      <c r="C197" s="2" t="s">
        <v>533</v>
      </c>
      <c r="D197" s="2" t="s">
        <v>12</v>
      </c>
      <c r="E197" s="2" t="s">
        <v>534</v>
      </c>
      <c r="F197" s="2" t="s">
        <v>86</v>
      </c>
      <c r="G197" s="2" t="s">
        <v>15</v>
      </c>
      <c r="H197" s="2" t="s">
        <v>69</v>
      </c>
      <c r="I197" s="2" t="s">
        <v>535</v>
      </c>
    </row>
    <row r="198" spans="1:9" ht="25" x14ac:dyDescent="0.35">
      <c r="A198" s="2" t="s">
        <v>532</v>
      </c>
      <c r="B198" s="2" t="s">
        <v>385</v>
      </c>
      <c r="C198" s="2" t="s">
        <v>536</v>
      </c>
      <c r="D198" s="2" t="s">
        <v>38</v>
      </c>
      <c r="E198" s="2" t="s">
        <v>537</v>
      </c>
      <c r="F198" s="2" t="s">
        <v>86</v>
      </c>
      <c r="G198" s="2" t="s">
        <v>15</v>
      </c>
      <c r="H198" s="2" t="s">
        <v>69</v>
      </c>
      <c r="I198" s="2" t="s">
        <v>535</v>
      </c>
    </row>
    <row r="199" spans="1:9" ht="25" x14ac:dyDescent="0.35">
      <c r="A199" s="2" t="s">
        <v>532</v>
      </c>
      <c r="B199" s="2" t="s">
        <v>385</v>
      </c>
      <c r="C199" s="2" t="s">
        <v>538</v>
      </c>
      <c r="D199" s="2" t="s">
        <v>12</v>
      </c>
      <c r="E199" s="2" t="s">
        <v>539</v>
      </c>
      <c r="F199" s="2" t="s">
        <v>86</v>
      </c>
      <c r="G199" s="2" t="s">
        <v>15</v>
      </c>
      <c r="H199" s="2" t="s">
        <v>214</v>
      </c>
      <c r="I199" s="2" t="s">
        <v>535</v>
      </c>
    </row>
    <row r="200" spans="1:9" ht="25" x14ac:dyDescent="0.35">
      <c r="A200" s="3" t="s">
        <v>540</v>
      </c>
      <c r="B200" s="3" t="s">
        <v>385</v>
      </c>
      <c r="C200" s="3" t="s">
        <v>541</v>
      </c>
      <c r="D200" s="3" t="s">
        <v>12</v>
      </c>
      <c r="E200" s="3" t="s">
        <v>26</v>
      </c>
      <c r="F200" s="3" t="s">
        <v>12</v>
      </c>
      <c r="G200" s="3" t="s">
        <v>23</v>
      </c>
      <c r="H200" s="3" t="s">
        <v>87</v>
      </c>
      <c r="I200" s="3" t="s">
        <v>542</v>
      </c>
    </row>
    <row r="201" spans="1:9" ht="25" x14ac:dyDescent="0.35">
      <c r="A201" s="3" t="s">
        <v>540</v>
      </c>
      <c r="B201" s="3" t="s">
        <v>385</v>
      </c>
      <c r="C201" s="3" t="s">
        <v>543</v>
      </c>
      <c r="D201" s="3" t="s">
        <v>12</v>
      </c>
      <c r="E201" s="3" t="s">
        <v>26</v>
      </c>
      <c r="F201" s="3" t="s">
        <v>12</v>
      </c>
      <c r="G201" s="3" t="s">
        <v>23</v>
      </c>
      <c r="H201" s="3" t="s">
        <v>35</v>
      </c>
      <c r="I201" s="3" t="s">
        <v>542</v>
      </c>
    </row>
    <row r="202" spans="1:9" ht="25" x14ac:dyDescent="0.35">
      <c r="A202" s="3" t="s">
        <v>540</v>
      </c>
      <c r="B202" s="3" t="s">
        <v>385</v>
      </c>
      <c r="C202" s="3" t="s">
        <v>544</v>
      </c>
      <c r="D202" s="3" t="s">
        <v>12</v>
      </c>
      <c r="E202" s="3" t="s">
        <v>545</v>
      </c>
      <c r="F202" s="3" t="s">
        <v>12</v>
      </c>
      <c r="G202" s="3" t="s">
        <v>23</v>
      </c>
      <c r="H202" s="3" t="s">
        <v>35</v>
      </c>
      <c r="I202" s="3" t="s">
        <v>542</v>
      </c>
    </row>
    <row r="203" spans="1:9" ht="25" x14ac:dyDescent="0.35">
      <c r="A203" s="2" t="s">
        <v>546</v>
      </c>
      <c r="B203" s="2" t="s">
        <v>385</v>
      </c>
      <c r="C203" s="2" t="s">
        <v>547</v>
      </c>
      <c r="D203" s="2" t="s">
        <v>30</v>
      </c>
      <c r="E203" s="2" t="s">
        <v>261</v>
      </c>
      <c r="F203" s="2" t="s">
        <v>267</v>
      </c>
      <c r="G203" s="2" t="s">
        <v>15</v>
      </c>
      <c r="H203" s="2" t="s">
        <v>24</v>
      </c>
      <c r="I203" s="2" t="s">
        <v>548</v>
      </c>
    </row>
    <row r="204" spans="1:9" ht="37.5" x14ac:dyDescent="0.35">
      <c r="A204" s="2" t="s">
        <v>546</v>
      </c>
      <c r="B204" s="2" t="s">
        <v>385</v>
      </c>
      <c r="C204" s="2" t="s">
        <v>549</v>
      </c>
      <c r="D204" s="2" t="s">
        <v>269</v>
      </c>
      <c r="E204" s="2" t="s">
        <v>550</v>
      </c>
      <c r="F204" s="2" t="s">
        <v>267</v>
      </c>
      <c r="G204" s="2" t="s">
        <v>15</v>
      </c>
      <c r="H204" s="2" t="s">
        <v>35</v>
      </c>
      <c r="I204" s="2" t="s">
        <v>548</v>
      </c>
    </row>
    <row r="205" spans="1:9" ht="25" x14ac:dyDescent="0.35">
      <c r="A205" s="3" t="s">
        <v>551</v>
      </c>
      <c r="B205" s="3" t="s">
        <v>385</v>
      </c>
      <c r="C205" s="3" t="s">
        <v>552</v>
      </c>
      <c r="D205" s="3" t="s">
        <v>30</v>
      </c>
      <c r="E205" s="3" t="s">
        <v>553</v>
      </c>
      <c r="F205" s="3" t="s">
        <v>30</v>
      </c>
      <c r="G205" s="3" t="s">
        <v>23</v>
      </c>
      <c r="H205" s="3" t="s">
        <v>27</v>
      </c>
      <c r="I205" s="3" t="s">
        <v>554</v>
      </c>
    </row>
    <row r="206" spans="1:9" ht="25" x14ac:dyDescent="0.35">
      <c r="A206" s="3" t="s">
        <v>551</v>
      </c>
      <c r="B206" s="3" t="s">
        <v>385</v>
      </c>
      <c r="C206" s="3" t="s">
        <v>555</v>
      </c>
      <c r="D206" s="3" t="s">
        <v>30</v>
      </c>
      <c r="E206" s="3" t="s">
        <v>556</v>
      </c>
      <c r="F206" s="3" t="s">
        <v>30</v>
      </c>
      <c r="G206" s="3" t="s">
        <v>23</v>
      </c>
      <c r="H206" s="3" t="s">
        <v>24</v>
      </c>
      <c r="I206" s="3" t="s">
        <v>554</v>
      </c>
    </row>
    <row r="207" spans="1:9" ht="25" x14ac:dyDescent="0.35">
      <c r="A207" s="2" t="s">
        <v>557</v>
      </c>
      <c r="B207" s="2" t="s">
        <v>385</v>
      </c>
      <c r="C207" s="2" t="s">
        <v>558</v>
      </c>
      <c r="D207" s="2" t="s">
        <v>12</v>
      </c>
      <c r="E207" s="2" t="s">
        <v>559</v>
      </c>
      <c r="F207" s="2" t="s">
        <v>14</v>
      </c>
      <c r="G207" s="2" t="s">
        <v>15</v>
      </c>
      <c r="H207" s="2" t="s">
        <v>132</v>
      </c>
      <c r="I207" s="2" t="s">
        <v>560</v>
      </c>
    </row>
    <row r="208" spans="1:9" ht="25" x14ac:dyDescent="0.35">
      <c r="A208" s="2" t="s">
        <v>557</v>
      </c>
      <c r="B208" s="2" t="s">
        <v>385</v>
      </c>
      <c r="C208" s="2" t="s">
        <v>561</v>
      </c>
      <c r="D208" s="2" t="s">
        <v>18</v>
      </c>
      <c r="E208" s="2" t="s">
        <v>562</v>
      </c>
      <c r="F208" s="2" t="s">
        <v>14</v>
      </c>
      <c r="G208" s="2" t="s">
        <v>15</v>
      </c>
      <c r="H208" s="2" t="s">
        <v>132</v>
      </c>
      <c r="I208" s="2" t="s">
        <v>560</v>
      </c>
    </row>
    <row r="209" spans="1:9" ht="25" x14ac:dyDescent="0.35">
      <c r="A209" s="3" t="s">
        <v>563</v>
      </c>
      <c r="B209" s="3" t="s">
        <v>385</v>
      </c>
      <c r="C209" s="3" t="s">
        <v>564</v>
      </c>
      <c r="D209" s="3" t="s">
        <v>59</v>
      </c>
      <c r="E209" s="3" t="s">
        <v>565</v>
      </c>
      <c r="F209" s="3" t="s">
        <v>14</v>
      </c>
      <c r="G209" s="3" t="s">
        <v>23</v>
      </c>
      <c r="H209" s="3" t="s">
        <v>16</v>
      </c>
      <c r="I209" s="3" t="s">
        <v>566</v>
      </c>
    </row>
    <row r="210" spans="1:9" ht="37.5" x14ac:dyDescent="0.35">
      <c r="A210" s="3" t="s">
        <v>563</v>
      </c>
      <c r="B210" s="3" t="s">
        <v>385</v>
      </c>
      <c r="C210" s="3" t="s">
        <v>567</v>
      </c>
      <c r="D210" s="3" t="s">
        <v>12</v>
      </c>
      <c r="E210" s="3" t="s">
        <v>568</v>
      </c>
      <c r="F210" s="3" t="s">
        <v>14</v>
      </c>
      <c r="G210" s="3" t="s">
        <v>23</v>
      </c>
      <c r="H210" s="3" t="s">
        <v>16</v>
      </c>
      <c r="I210" s="3" t="s">
        <v>566</v>
      </c>
    </row>
    <row r="211" spans="1:9" ht="25" x14ac:dyDescent="0.35">
      <c r="A211" s="2" t="s">
        <v>569</v>
      </c>
      <c r="B211" s="2" t="s">
        <v>385</v>
      </c>
      <c r="C211" s="2" t="s">
        <v>570</v>
      </c>
      <c r="D211" s="2" t="s">
        <v>54</v>
      </c>
      <c r="E211" s="2" t="s">
        <v>571</v>
      </c>
      <c r="F211" s="2" t="s">
        <v>50</v>
      </c>
      <c r="G211" s="2" t="s">
        <v>15</v>
      </c>
      <c r="H211" s="2" t="s">
        <v>16</v>
      </c>
      <c r="I211" s="2" t="s">
        <v>572</v>
      </c>
    </row>
    <row r="212" spans="1:9" ht="37.5" x14ac:dyDescent="0.35">
      <c r="A212" s="2" t="s">
        <v>569</v>
      </c>
      <c r="B212" s="2" t="s">
        <v>385</v>
      </c>
      <c r="C212" s="2" t="s">
        <v>573</v>
      </c>
      <c r="D212" s="2" t="s">
        <v>59</v>
      </c>
      <c r="E212" s="2" t="s">
        <v>574</v>
      </c>
      <c r="F212" s="2" t="s">
        <v>50</v>
      </c>
      <c r="G212" s="2" t="s">
        <v>15</v>
      </c>
      <c r="H212" s="2" t="s">
        <v>24</v>
      </c>
      <c r="I212" s="2" t="s">
        <v>572</v>
      </c>
    </row>
    <row r="213" spans="1:9" ht="37.5" x14ac:dyDescent="0.35">
      <c r="A213" s="3" t="s">
        <v>575</v>
      </c>
      <c r="B213" s="3" t="s">
        <v>385</v>
      </c>
      <c r="C213" s="7" t="s">
        <v>576</v>
      </c>
      <c r="D213" s="3" t="s">
        <v>59</v>
      </c>
      <c r="E213" s="3" t="s">
        <v>577</v>
      </c>
      <c r="F213" s="3" t="s">
        <v>50</v>
      </c>
      <c r="G213" s="3" t="s">
        <v>15</v>
      </c>
      <c r="H213" s="3" t="s">
        <v>16</v>
      </c>
      <c r="I213" s="11" t="s">
        <v>939</v>
      </c>
    </row>
    <row r="214" spans="1:9" ht="37.5" x14ac:dyDescent="0.35">
      <c r="A214" s="3" t="s">
        <v>575</v>
      </c>
      <c r="B214" s="3" t="s">
        <v>385</v>
      </c>
      <c r="C214" s="7" t="s">
        <v>578</v>
      </c>
      <c r="D214" s="3" t="s">
        <v>30</v>
      </c>
      <c r="E214" s="3" t="s">
        <v>579</v>
      </c>
      <c r="F214" s="3" t="s">
        <v>50</v>
      </c>
      <c r="G214" s="3" t="s">
        <v>15</v>
      </c>
      <c r="H214" s="3" t="s">
        <v>16</v>
      </c>
      <c r="I214" s="11" t="s">
        <v>939</v>
      </c>
    </row>
    <row r="215" spans="1:9" ht="25" x14ac:dyDescent="0.35">
      <c r="A215" s="2" t="s">
        <v>580</v>
      </c>
      <c r="B215" s="2" t="s">
        <v>385</v>
      </c>
      <c r="C215" s="2" t="s">
        <v>581</v>
      </c>
      <c r="D215" s="2" t="s">
        <v>38</v>
      </c>
      <c r="E215" s="2" t="s">
        <v>582</v>
      </c>
      <c r="F215" s="2" t="s">
        <v>38</v>
      </c>
      <c r="G215" s="2" t="s">
        <v>23</v>
      </c>
      <c r="H215" s="2" t="s">
        <v>27</v>
      </c>
      <c r="I215" s="2" t="s">
        <v>583</v>
      </c>
    </row>
    <row r="216" spans="1:9" ht="25" x14ac:dyDescent="0.35">
      <c r="A216" s="2" t="s">
        <v>580</v>
      </c>
      <c r="B216" s="2" t="s">
        <v>385</v>
      </c>
      <c r="C216" s="2" t="s">
        <v>584</v>
      </c>
      <c r="D216" s="2" t="s">
        <v>38</v>
      </c>
      <c r="E216" s="2" t="s">
        <v>585</v>
      </c>
      <c r="F216" s="2" t="s">
        <v>38</v>
      </c>
      <c r="G216" s="2" t="s">
        <v>23</v>
      </c>
      <c r="H216" s="2" t="s">
        <v>27</v>
      </c>
      <c r="I216" s="2" t="s">
        <v>583</v>
      </c>
    </row>
    <row r="217" spans="1:9" ht="25" x14ac:dyDescent="0.35">
      <c r="A217" s="3" t="s">
        <v>586</v>
      </c>
      <c r="B217" s="3" t="s">
        <v>385</v>
      </c>
      <c r="C217" s="3" t="s">
        <v>587</v>
      </c>
      <c r="D217" s="3" t="s">
        <v>30</v>
      </c>
      <c r="E217" s="3" t="s">
        <v>441</v>
      </c>
      <c r="F217" s="3" t="s">
        <v>588</v>
      </c>
      <c r="G217" s="3" t="s">
        <v>15</v>
      </c>
      <c r="H217" s="3" t="s">
        <v>27</v>
      </c>
      <c r="I217" s="3" t="s">
        <v>589</v>
      </c>
    </row>
    <row r="218" spans="1:9" ht="25" x14ac:dyDescent="0.35">
      <c r="A218" s="3" t="s">
        <v>586</v>
      </c>
      <c r="B218" s="3" t="s">
        <v>385</v>
      </c>
      <c r="C218" s="3" t="s">
        <v>590</v>
      </c>
      <c r="D218" s="3" t="s">
        <v>12</v>
      </c>
      <c r="E218" s="3" t="s">
        <v>591</v>
      </c>
      <c r="F218" s="3" t="s">
        <v>588</v>
      </c>
      <c r="G218" s="3" t="s">
        <v>15</v>
      </c>
      <c r="H218" s="3" t="s">
        <v>27</v>
      </c>
      <c r="I218" s="3" t="s">
        <v>589</v>
      </c>
    </row>
    <row r="219" spans="1:9" ht="25" x14ac:dyDescent="0.35">
      <c r="A219" s="3" t="s">
        <v>586</v>
      </c>
      <c r="B219" s="3" t="s">
        <v>385</v>
      </c>
      <c r="C219" s="3" t="s">
        <v>592</v>
      </c>
      <c r="D219" s="3" t="s">
        <v>38</v>
      </c>
      <c r="E219" s="3" t="s">
        <v>593</v>
      </c>
      <c r="F219" s="3" t="s">
        <v>588</v>
      </c>
      <c r="G219" s="3" t="s">
        <v>15</v>
      </c>
      <c r="H219" s="3" t="s">
        <v>27</v>
      </c>
      <c r="I219" s="3" t="s">
        <v>589</v>
      </c>
    </row>
    <row r="220" spans="1:9" ht="25" x14ac:dyDescent="0.35">
      <c r="A220" s="2" t="s">
        <v>594</v>
      </c>
      <c r="B220" s="2" t="s">
        <v>385</v>
      </c>
      <c r="C220" s="2" t="s">
        <v>595</v>
      </c>
      <c r="D220" s="2" t="s">
        <v>12</v>
      </c>
      <c r="E220" s="2" t="s">
        <v>68</v>
      </c>
      <c r="F220" s="2" t="s">
        <v>12</v>
      </c>
      <c r="G220" s="2" t="s">
        <v>23</v>
      </c>
      <c r="H220" s="2" t="s">
        <v>69</v>
      </c>
      <c r="I220" s="2" t="s">
        <v>596</v>
      </c>
    </row>
    <row r="221" spans="1:9" ht="25" x14ac:dyDescent="0.35">
      <c r="A221" s="2" t="s">
        <v>594</v>
      </c>
      <c r="B221" s="2" t="s">
        <v>385</v>
      </c>
      <c r="C221" s="2" t="s">
        <v>597</v>
      </c>
      <c r="D221" s="2" t="s">
        <v>12</v>
      </c>
      <c r="E221" s="2" t="s">
        <v>598</v>
      </c>
      <c r="F221" s="2" t="s">
        <v>12</v>
      </c>
      <c r="G221" s="2" t="s">
        <v>23</v>
      </c>
      <c r="H221" s="2" t="s">
        <v>214</v>
      </c>
      <c r="I221" s="2" t="s">
        <v>596</v>
      </c>
    </row>
    <row r="222" spans="1:9" ht="25" x14ac:dyDescent="0.35">
      <c r="A222" s="3" t="s">
        <v>599</v>
      </c>
      <c r="B222" s="3" t="s">
        <v>385</v>
      </c>
      <c r="C222" s="7" t="s">
        <v>600</v>
      </c>
      <c r="D222" s="3" t="s">
        <v>12</v>
      </c>
      <c r="E222" s="3" t="s">
        <v>601</v>
      </c>
      <c r="F222" s="3" t="s">
        <v>170</v>
      </c>
      <c r="G222" s="3" t="s">
        <v>23</v>
      </c>
      <c r="H222" s="3" t="s">
        <v>87</v>
      </c>
      <c r="I222" s="3" t="s">
        <v>602</v>
      </c>
    </row>
    <row r="223" spans="1:9" ht="150" x14ac:dyDescent="0.35">
      <c r="A223" s="3" t="s">
        <v>599</v>
      </c>
      <c r="B223" s="3" t="s">
        <v>385</v>
      </c>
      <c r="C223" s="7" t="s">
        <v>603</v>
      </c>
      <c r="D223" s="3" t="s">
        <v>168</v>
      </c>
      <c r="E223" s="3" t="s">
        <v>604</v>
      </c>
      <c r="F223" s="3" t="s">
        <v>170</v>
      </c>
      <c r="G223" s="3" t="s">
        <v>23</v>
      </c>
      <c r="H223" s="3" t="s">
        <v>69</v>
      </c>
      <c r="I223" s="3" t="s">
        <v>602</v>
      </c>
    </row>
    <row r="224" spans="1:9" ht="25" x14ac:dyDescent="0.35">
      <c r="A224" s="2" t="s">
        <v>605</v>
      </c>
      <c r="B224" s="2" t="s">
        <v>385</v>
      </c>
      <c r="C224" s="2" t="s">
        <v>606</v>
      </c>
      <c r="D224" s="2" t="s">
        <v>91</v>
      </c>
      <c r="E224" s="2" t="s">
        <v>607</v>
      </c>
      <c r="F224" s="2" t="s">
        <v>131</v>
      </c>
      <c r="G224" s="2" t="s">
        <v>23</v>
      </c>
      <c r="H224" s="2" t="s">
        <v>132</v>
      </c>
      <c r="I224" s="2" t="s">
        <v>608</v>
      </c>
    </row>
    <row r="225" spans="1:9" ht="37.5" x14ac:dyDescent="0.35">
      <c r="A225" s="2" t="s">
        <v>605</v>
      </c>
      <c r="B225" s="2" t="s">
        <v>385</v>
      </c>
      <c r="C225" s="2" t="s">
        <v>609</v>
      </c>
      <c r="D225" s="2" t="s">
        <v>610</v>
      </c>
      <c r="E225" s="2" t="s">
        <v>611</v>
      </c>
      <c r="F225" s="2" t="s">
        <v>131</v>
      </c>
      <c r="G225" s="2" t="s">
        <v>23</v>
      </c>
      <c r="H225" s="2" t="s">
        <v>132</v>
      </c>
      <c r="I225" s="2" t="s">
        <v>608</v>
      </c>
    </row>
    <row r="226" spans="1:9" ht="25" x14ac:dyDescent="0.35">
      <c r="A226" s="3" t="s">
        <v>612</v>
      </c>
      <c r="B226" s="3" t="s">
        <v>385</v>
      </c>
      <c r="C226" s="7" t="s">
        <v>613</v>
      </c>
      <c r="D226" s="3" t="s">
        <v>38</v>
      </c>
      <c r="E226" s="3" t="s">
        <v>614</v>
      </c>
      <c r="F226" s="3" t="s">
        <v>86</v>
      </c>
      <c r="G226" s="3" t="s">
        <v>15</v>
      </c>
      <c r="H226" s="3" t="s">
        <v>27</v>
      </c>
      <c r="I226" s="11" t="s">
        <v>939</v>
      </c>
    </row>
    <row r="227" spans="1:9" ht="25" x14ac:dyDescent="0.35">
      <c r="A227" s="3" t="s">
        <v>612</v>
      </c>
      <c r="B227" s="3" t="s">
        <v>385</v>
      </c>
      <c r="C227" s="7" t="s">
        <v>615</v>
      </c>
      <c r="D227" s="3" t="s">
        <v>12</v>
      </c>
      <c r="E227" s="3" t="s">
        <v>469</v>
      </c>
      <c r="F227" s="3" t="s">
        <v>86</v>
      </c>
      <c r="G227" s="3" t="s">
        <v>15</v>
      </c>
      <c r="H227" s="3" t="s">
        <v>24</v>
      </c>
      <c r="I227" s="11" t="s">
        <v>939</v>
      </c>
    </row>
    <row r="228" spans="1:9" ht="25" x14ac:dyDescent="0.35">
      <c r="A228" s="2" t="s">
        <v>616</v>
      </c>
      <c r="B228" s="2" t="s">
        <v>385</v>
      </c>
      <c r="C228" s="2" t="s">
        <v>617</v>
      </c>
      <c r="D228" s="2" t="s">
        <v>38</v>
      </c>
      <c r="E228" s="2" t="s">
        <v>618</v>
      </c>
      <c r="F228" s="2" t="s">
        <v>588</v>
      </c>
      <c r="G228" s="2" t="s">
        <v>15</v>
      </c>
      <c r="H228" s="2" t="s">
        <v>27</v>
      </c>
      <c r="I228" s="2" t="s">
        <v>619</v>
      </c>
    </row>
    <row r="229" spans="1:9" ht="25" x14ac:dyDescent="0.35">
      <c r="A229" s="2" t="s">
        <v>616</v>
      </c>
      <c r="B229" s="2" t="s">
        <v>385</v>
      </c>
      <c r="C229" s="2" t="s">
        <v>620</v>
      </c>
      <c r="D229" s="2" t="s">
        <v>54</v>
      </c>
      <c r="E229" s="2" t="s">
        <v>621</v>
      </c>
      <c r="F229" s="2" t="s">
        <v>588</v>
      </c>
      <c r="G229" s="2" t="s">
        <v>15</v>
      </c>
      <c r="H229" s="2" t="s">
        <v>27</v>
      </c>
      <c r="I229" s="2" t="s">
        <v>619</v>
      </c>
    </row>
    <row r="230" spans="1:9" ht="25" x14ac:dyDescent="0.35">
      <c r="A230" s="2" t="s">
        <v>616</v>
      </c>
      <c r="B230" s="2" t="s">
        <v>385</v>
      </c>
      <c r="C230" s="2" t="s">
        <v>622</v>
      </c>
      <c r="D230" s="2" t="s">
        <v>38</v>
      </c>
      <c r="E230" s="2" t="s">
        <v>623</v>
      </c>
      <c r="F230" s="2" t="s">
        <v>588</v>
      </c>
      <c r="G230" s="2" t="s">
        <v>15</v>
      </c>
      <c r="H230" s="2" t="s">
        <v>27</v>
      </c>
      <c r="I230" s="2" t="s">
        <v>619</v>
      </c>
    </row>
    <row r="231" spans="1:9" ht="25" x14ac:dyDescent="0.35">
      <c r="A231" s="3" t="s">
        <v>624</v>
      </c>
      <c r="B231" s="3" t="s">
        <v>385</v>
      </c>
      <c r="C231" s="3" t="s">
        <v>625</v>
      </c>
      <c r="D231" s="3" t="s">
        <v>12</v>
      </c>
      <c r="E231" s="3" t="s">
        <v>63</v>
      </c>
      <c r="F231" s="3" t="s">
        <v>170</v>
      </c>
      <c r="G231" s="3" t="s">
        <v>23</v>
      </c>
      <c r="H231" s="3" t="s">
        <v>214</v>
      </c>
      <c r="I231" s="3" t="s">
        <v>626</v>
      </c>
    </row>
    <row r="232" spans="1:9" ht="25" x14ac:dyDescent="0.35">
      <c r="A232" s="3" t="s">
        <v>624</v>
      </c>
      <c r="B232" s="3" t="s">
        <v>385</v>
      </c>
      <c r="C232" s="3" t="s">
        <v>627</v>
      </c>
      <c r="D232" s="3" t="s">
        <v>168</v>
      </c>
      <c r="E232" s="3" t="s">
        <v>628</v>
      </c>
      <c r="F232" s="3" t="s">
        <v>170</v>
      </c>
      <c r="G232" s="3" t="s">
        <v>23</v>
      </c>
      <c r="H232" s="3" t="s">
        <v>214</v>
      </c>
      <c r="I232" s="3" t="s">
        <v>626</v>
      </c>
    </row>
    <row r="233" spans="1:9" ht="25" x14ac:dyDescent="0.35">
      <c r="A233" s="2" t="s">
        <v>629</v>
      </c>
      <c r="B233" s="2" t="s">
        <v>385</v>
      </c>
      <c r="C233" s="2" t="s">
        <v>630</v>
      </c>
      <c r="D233" s="2" t="s">
        <v>38</v>
      </c>
      <c r="E233" s="2" t="s">
        <v>85</v>
      </c>
      <c r="F233" s="2" t="s">
        <v>38</v>
      </c>
      <c r="G233" s="2" t="s">
        <v>23</v>
      </c>
      <c r="H233" s="2" t="s">
        <v>27</v>
      </c>
      <c r="I233" s="2" t="s">
        <v>631</v>
      </c>
    </row>
    <row r="234" spans="1:9" ht="25" x14ac:dyDescent="0.35">
      <c r="A234" s="2" t="s">
        <v>629</v>
      </c>
      <c r="B234" s="2" t="s">
        <v>385</v>
      </c>
      <c r="C234" s="2" t="s">
        <v>632</v>
      </c>
      <c r="D234" s="2" t="s">
        <v>38</v>
      </c>
      <c r="E234" s="2" t="s">
        <v>633</v>
      </c>
      <c r="F234" s="2" t="s">
        <v>38</v>
      </c>
      <c r="G234" s="2" t="s">
        <v>23</v>
      </c>
      <c r="H234" s="2" t="s">
        <v>27</v>
      </c>
      <c r="I234" s="2" t="s">
        <v>631</v>
      </c>
    </row>
    <row r="235" spans="1:9" ht="25" x14ac:dyDescent="0.35">
      <c r="A235" s="2" t="s">
        <v>629</v>
      </c>
      <c r="B235" s="2" t="s">
        <v>385</v>
      </c>
      <c r="C235" s="2" t="s">
        <v>634</v>
      </c>
      <c r="D235" s="2" t="s">
        <v>38</v>
      </c>
      <c r="E235" s="2" t="s">
        <v>635</v>
      </c>
      <c r="F235" s="2" t="s">
        <v>38</v>
      </c>
      <c r="G235" s="2" t="s">
        <v>23</v>
      </c>
      <c r="H235" s="2" t="s">
        <v>27</v>
      </c>
      <c r="I235" s="2" t="s">
        <v>631</v>
      </c>
    </row>
    <row r="236" spans="1:9" ht="25" x14ac:dyDescent="0.35">
      <c r="A236" s="3" t="s">
        <v>636</v>
      </c>
      <c r="B236" s="3" t="s">
        <v>385</v>
      </c>
      <c r="C236" s="10" t="s">
        <v>637</v>
      </c>
      <c r="D236" s="3" t="s">
        <v>38</v>
      </c>
      <c r="E236" s="3" t="s">
        <v>638</v>
      </c>
      <c r="F236" s="3" t="s">
        <v>148</v>
      </c>
      <c r="G236" s="3" t="s">
        <v>23</v>
      </c>
      <c r="H236" s="3" t="s">
        <v>27</v>
      </c>
      <c r="I236" s="3" t="s">
        <v>639</v>
      </c>
    </row>
    <row r="237" spans="1:9" ht="25" x14ac:dyDescent="0.35">
      <c r="A237" s="3" t="s">
        <v>636</v>
      </c>
      <c r="B237" s="3" t="s">
        <v>385</v>
      </c>
      <c r="C237" s="10" t="s">
        <v>640</v>
      </c>
      <c r="D237" s="3" t="s">
        <v>30</v>
      </c>
      <c r="E237" s="3" t="s">
        <v>441</v>
      </c>
      <c r="F237" s="3" t="s">
        <v>148</v>
      </c>
      <c r="G237" s="3" t="s">
        <v>23</v>
      </c>
      <c r="H237" s="3" t="s">
        <v>27</v>
      </c>
      <c r="I237" s="3" t="s">
        <v>639</v>
      </c>
    </row>
    <row r="238" spans="1:9" ht="25" x14ac:dyDescent="0.35">
      <c r="A238" s="3" t="s">
        <v>636</v>
      </c>
      <c r="B238" s="3" t="s">
        <v>385</v>
      </c>
      <c r="C238" s="10" t="s">
        <v>641</v>
      </c>
      <c r="D238" s="3" t="s">
        <v>38</v>
      </c>
      <c r="E238" s="3" t="s">
        <v>642</v>
      </c>
      <c r="F238" s="3" t="s">
        <v>148</v>
      </c>
      <c r="G238" s="3" t="s">
        <v>23</v>
      </c>
      <c r="H238" s="3" t="s">
        <v>27</v>
      </c>
      <c r="I238" s="3" t="s">
        <v>639</v>
      </c>
    </row>
    <row r="239" spans="1:9" ht="25" x14ac:dyDescent="0.35">
      <c r="A239" s="3" t="s">
        <v>636</v>
      </c>
      <c r="B239" s="3" t="s">
        <v>385</v>
      </c>
      <c r="C239" s="10" t="s">
        <v>643</v>
      </c>
      <c r="D239" s="3" t="s">
        <v>284</v>
      </c>
      <c r="E239" s="3" t="s">
        <v>644</v>
      </c>
      <c r="F239" s="3" t="s">
        <v>148</v>
      </c>
      <c r="G239" s="3" t="s">
        <v>23</v>
      </c>
      <c r="H239" s="3" t="s">
        <v>27</v>
      </c>
      <c r="I239" s="3" t="s">
        <v>639</v>
      </c>
    </row>
    <row r="240" spans="1:9" ht="25" x14ac:dyDescent="0.35">
      <c r="A240" s="3" t="s">
        <v>636</v>
      </c>
      <c r="B240" s="3" t="s">
        <v>385</v>
      </c>
      <c r="C240" s="10" t="s">
        <v>645</v>
      </c>
      <c r="D240" s="3" t="s">
        <v>38</v>
      </c>
      <c r="E240" s="3" t="s">
        <v>646</v>
      </c>
      <c r="F240" s="3" t="s">
        <v>148</v>
      </c>
      <c r="G240" s="3" t="s">
        <v>23</v>
      </c>
      <c r="H240" s="3" t="s">
        <v>27</v>
      </c>
      <c r="I240" s="3" t="s">
        <v>639</v>
      </c>
    </row>
    <row r="241" spans="1:9" ht="25" x14ac:dyDescent="0.35">
      <c r="A241" s="3" t="s">
        <v>636</v>
      </c>
      <c r="B241" s="3" t="s">
        <v>385</v>
      </c>
      <c r="C241" s="10" t="s">
        <v>647</v>
      </c>
      <c r="D241" s="3" t="s">
        <v>30</v>
      </c>
      <c r="E241" s="3" t="s">
        <v>648</v>
      </c>
      <c r="F241" s="3" t="s">
        <v>148</v>
      </c>
      <c r="G241" s="3" t="s">
        <v>23</v>
      </c>
      <c r="H241" s="3" t="s">
        <v>24</v>
      </c>
      <c r="I241" s="3" t="s">
        <v>639</v>
      </c>
    </row>
    <row r="242" spans="1:9" ht="25" x14ac:dyDescent="0.35">
      <c r="A242" s="2" t="s">
        <v>649</v>
      </c>
      <c r="B242" s="2" t="s">
        <v>385</v>
      </c>
      <c r="C242" s="2" t="s">
        <v>650</v>
      </c>
      <c r="D242" s="2" t="s">
        <v>91</v>
      </c>
      <c r="E242" s="2" t="s">
        <v>651</v>
      </c>
      <c r="F242" s="2" t="s">
        <v>170</v>
      </c>
      <c r="G242" s="2" t="s">
        <v>15</v>
      </c>
      <c r="H242" s="2" t="s">
        <v>69</v>
      </c>
      <c r="I242" s="2" t="s">
        <v>652</v>
      </c>
    </row>
    <row r="243" spans="1:9" ht="25" x14ac:dyDescent="0.35">
      <c r="A243" s="2" t="s">
        <v>649</v>
      </c>
      <c r="B243" s="2" t="s">
        <v>385</v>
      </c>
      <c r="C243" s="2" t="s">
        <v>653</v>
      </c>
      <c r="D243" s="2" t="s">
        <v>12</v>
      </c>
      <c r="E243" s="2" t="s">
        <v>654</v>
      </c>
      <c r="F243" s="2" t="s">
        <v>170</v>
      </c>
      <c r="G243" s="2" t="s">
        <v>15</v>
      </c>
      <c r="H243" s="2" t="s">
        <v>27</v>
      </c>
      <c r="I243" s="2" t="s">
        <v>652</v>
      </c>
    </row>
    <row r="244" spans="1:9" ht="25" x14ac:dyDescent="0.35">
      <c r="A244" s="3" t="s">
        <v>655</v>
      </c>
      <c r="B244" s="3" t="s">
        <v>385</v>
      </c>
      <c r="C244" s="3" t="s">
        <v>656</v>
      </c>
      <c r="D244" s="3" t="s">
        <v>12</v>
      </c>
      <c r="E244" s="3" t="s">
        <v>657</v>
      </c>
      <c r="F244" s="3" t="s">
        <v>12</v>
      </c>
      <c r="G244" s="3" t="s">
        <v>23</v>
      </c>
      <c r="H244" s="3" t="s">
        <v>132</v>
      </c>
      <c r="I244" s="3" t="s">
        <v>658</v>
      </c>
    </row>
    <row r="245" spans="1:9" ht="25" x14ac:dyDescent="0.35">
      <c r="A245" s="3" t="s">
        <v>655</v>
      </c>
      <c r="B245" s="3" t="s">
        <v>385</v>
      </c>
      <c r="C245" s="3" t="s">
        <v>659</v>
      </c>
      <c r="D245" s="3" t="s">
        <v>12</v>
      </c>
      <c r="E245" s="3" t="s">
        <v>660</v>
      </c>
      <c r="F245" s="3" t="s">
        <v>12</v>
      </c>
      <c r="G245" s="3" t="s">
        <v>23</v>
      </c>
      <c r="H245" s="3" t="s">
        <v>132</v>
      </c>
      <c r="I245" s="3" t="s">
        <v>658</v>
      </c>
    </row>
    <row r="246" spans="1:9" ht="150" x14ac:dyDescent="0.35">
      <c r="A246" s="2" t="s">
        <v>661</v>
      </c>
      <c r="B246" s="2" t="s">
        <v>385</v>
      </c>
      <c r="C246" s="9" t="s">
        <v>662</v>
      </c>
      <c r="D246" s="2" t="s">
        <v>12</v>
      </c>
      <c r="E246" s="2" t="s">
        <v>663</v>
      </c>
      <c r="F246" s="2" t="s">
        <v>12</v>
      </c>
      <c r="G246" s="2" t="s">
        <v>23</v>
      </c>
      <c r="H246" s="2" t="s">
        <v>35</v>
      </c>
      <c r="I246" s="2" t="s">
        <v>664</v>
      </c>
    </row>
    <row r="247" spans="1:9" ht="25" x14ac:dyDescent="0.35">
      <c r="A247" s="2" t="s">
        <v>661</v>
      </c>
      <c r="B247" s="2" t="s">
        <v>385</v>
      </c>
      <c r="C247" s="9" t="s">
        <v>665</v>
      </c>
      <c r="D247" s="2" t="s">
        <v>12</v>
      </c>
      <c r="E247" s="2" t="s">
        <v>666</v>
      </c>
      <c r="F247" s="2" t="s">
        <v>12</v>
      </c>
      <c r="G247" s="2" t="s">
        <v>23</v>
      </c>
      <c r="H247" s="2" t="s">
        <v>35</v>
      </c>
      <c r="I247" s="2" t="s">
        <v>664</v>
      </c>
    </row>
    <row r="248" spans="1:9" ht="25" x14ac:dyDescent="0.35">
      <c r="A248" s="3" t="s">
        <v>667</v>
      </c>
      <c r="B248" s="3" t="s">
        <v>385</v>
      </c>
      <c r="C248" s="3" t="s">
        <v>668</v>
      </c>
      <c r="D248" s="3" t="s">
        <v>91</v>
      </c>
      <c r="E248" s="3" t="s">
        <v>669</v>
      </c>
      <c r="F248" s="3" t="s">
        <v>170</v>
      </c>
      <c r="G248" s="3" t="s">
        <v>23</v>
      </c>
      <c r="H248" s="3" t="s">
        <v>69</v>
      </c>
      <c r="I248" s="3" t="s">
        <v>670</v>
      </c>
    </row>
    <row r="249" spans="1:9" ht="50" x14ac:dyDescent="0.35">
      <c r="A249" s="3" t="s">
        <v>667</v>
      </c>
      <c r="B249" s="3" t="s">
        <v>385</v>
      </c>
      <c r="C249" s="3" t="s">
        <v>671</v>
      </c>
      <c r="D249" s="3" t="s">
        <v>168</v>
      </c>
      <c r="E249" s="3" t="s">
        <v>672</v>
      </c>
      <c r="F249" s="3" t="s">
        <v>170</v>
      </c>
      <c r="G249" s="3" t="s">
        <v>23</v>
      </c>
      <c r="H249" s="3" t="s">
        <v>69</v>
      </c>
      <c r="I249" s="3" t="s">
        <v>670</v>
      </c>
    </row>
    <row r="250" spans="1:9" ht="25" x14ac:dyDescent="0.35">
      <c r="A250" s="3" t="s">
        <v>667</v>
      </c>
      <c r="B250" s="3" t="s">
        <v>385</v>
      </c>
      <c r="C250" s="3" t="s">
        <v>673</v>
      </c>
      <c r="D250" s="3" t="s">
        <v>12</v>
      </c>
      <c r="E250" s="3" t="s">
        <v>674</v>
      </c>
      <c r="F250" s="3" t="s">
        <v>170</v>
      </c>
      <c r="G250" s="3" t="s">
        <v>23</v>
      </c>
      <c r="H250" s="3" t="s">
        <v>27</v>
      </c>
      <c r="I250" s="3" t="s">
        <v>670</v>
      </c>
    </row>
    <row r="251" spans="1:9" ht="37.5" x14ac:dyDescent="0.35">
      <c r="A251" s="2" t="s">
        <v>675</v>
      </c>
      <c r="B251" s="2" t="s">
        <v>385</v>
      </c>
      <c r="C251" s="2" t="s">
        <v>676</v>
      </c>
      <c r="D251" s="2" t="s">
        <v>483</v>
      </c>
      <c r="E251" s="2" t="s">
        <v>677</v>
      </c>
      <c r="F251" s="2" t="s">
        <v>274</v>
      </c>
      <c r="G251" s="2" t="s">
        <v>23</v>
      </c>
      <c r="H251" s="2" t="s">
        <v>132</v>
      </c>
      <c r="I251" s="2" t="s">
        <v>678</v>
      </c>
    </row>
    <row r="252" spans="1:9" ht="25" x14ac:dyDescent="0.35">
      <c r="A252" s="2" t="s">
        <v>675</v>
      </c>
      <c r="B252" s="2" t="s">
        <v>385</v>
      </c>
      <c r="C252" s="2" t="s">
        <v>679</v>
      </c>
      <c r="D252" s="2" t="s">
        <v>12</v>
      </c>
      <c r="E252" s="2" t="s">
        <v>680</v>
      </c>
      <c r="F252" s="2" t="s">
        <v>274</v>
      </c>
      <c r="G252" s="2" t="s">
        <v>23</v>
      </c>
      <c r="H252" s="2" t="s">
        <v>132</v>
      </c>
      <c r="I252" s="2" t="s">
        <v>678</v>
      </c>
    </row>
    <row r="253" spans="1:9" ht="50" x14ac:dyDescent="0.35">
      <c r="A253" s="2" t="s">
        <v>675</v>
      </c>
      <c r="B253" s="2" t="s">
        <v>385</v>
      </c>
      <c r="C253" s="2" t="s">
        <v>681</v>
      </c>
      <c r="D253" s="2" t="s">
        <v>12</v>
      </c>
      <c r="E253" s="2" t="s">
        <v>680</v>
      </c>
      <c r="F253" s="2" t="s">
        <v>274</v>
      </c>
      <c r="G253" s="2" t="s">
        <v>23</v>
      </c>
      <c r="H253" s="2" t="s">
        <v>132</v>
      </c>
      <c r="I253" s="2" t="s">
        <v>678</v>
      </c>
    </row>
    <row r="254" spans="1:9" ht="25" x14ac:dyDescent="0.35">
      <c r="A254" s="2" t="s">
        <v>675</v>
      </c>
      <c r="B254" s="2" t="s">
        <v>385</v>
      </c>
      <c r="C254" s="2" t="s">
        <v>682</v>
      </c>
      <c r="D254" s="2" t="s">
        <v>91</v>
      </c>
      <c r="E254" s="2" t="s">
        <v>683</v>
      </c>
      <c r="F254" s="2" t="s">
        <v>274</v>
      </c>
      <c r="G254" s="2" t="s">
        <v>23</v>
      </c>
      <c r="H254" s="2" t="s">
        <v>132</v>
      </c>
      <c r="I254" s="2" t="s">
        <v>678</v>
      </c>
    </row>
    <row r="255" spans="1:9" ht="25" x14ac:dyDescent="0.35">
      <c r="A255" s="2" t="s">
        <v>675</v>
      </c>
      <c r="B255" s="2" t="s">
        <v>385</v>
      </c>
      <c r="C255" s="2" t="s">
        <v>684</v>
      </c>
      <c r="D255" s="2" t="s">
        <v>12</v>
      </c>
      <c r="E255" s="2" t="s">
        <v>685</v>
      </c>
      <c r="F255" s="2" t="s">
        <v>274</v>
      </c>
      <c r="G255" s="2" t="s">
        <v>23</v>
      </c>
      <c r="H255" s="2" t="s">
        <v>87</v>
      </c>
      <c r="I255" s="2" t="s">
        <v>678</v>
      </c>
    </row>
    <row r="256" spans="1:9" ht="37.5" x14ac:dyDescent="0.35">
      <c r="A256" s="3" t="s">
        <v>686</v>
      </c>
      <c r="B256" s="3" t="s">
        <v>385</v>
      </c>
      <c r="C256" s="3" t="s">
        <v>687</v>
      </c>
      <c r="D256" s="3" t="s">
        <v>91</v>
      </c>
      <c r="E256" s="3" t="s">
        <v>688</v>
      </c>
      <c r="F256" s="3" t="s">
        <v>274</v>
      </c>
      <c r="G256" s="3" t="s">
        <v>15</v>
      </c>
      <c r="H256" s="3" t="s">
        <v>132</v>
      </c>
      <c r="I256" s="3" t="s">
        <v>689</v>
      </c>
    </row>
    <row r="257" spans="1:9" ht="37.5" x14ac:dyDescent="0.35">
      <c r="A257" s="3" t="s">
        <v>686</v>
      </c>
      <c r="B257" s="3" t="s">
        <v>385</v>
      </c>
      <c r="C257" s="3" t="s">
        <v>690</v>
      </c>
      <c r="D257" s="3" t="s">
        <v>59</v>
      </c>
      <c r="E257" s="3" t="s">
        <v>691</v>
      </c>
      <c r="F257" s="3" t="s">
        <v>274</v>
      </c>
      <c r="G257" s="3" t="s">
        <v>15</v>
      </c>
      <c r="H257" s="3" t="s">
        <v>132</v>
      </c>
      <c r="I257" s="3" t="s">
        <v>689</v>
      </c>
    </row>
    <row r="258" spans="1:9" ht="25" x14ac:dyDescent="0.35">
      <c r="A258" s="2" t="s">
        <v>692</v>
      </c>
      <c r="B258" s="2" t="s">
        <v>385</v>
      </c>
      <c r="C258" s="2" t="s">
        <v>693</v>
      </c>
      <c r="D258" s="2" t="s">
        <v>12</v>
      </c>
      <c r="E258" s="2" t="s">
        <v>694</v>
      </c>
      <c r="F258" s="2" t="s">
        <v>170</v>
      </c>
      <c r="G258" s="2" t="s">
        <v>15</v>
      </c>
      <c r="H258" s="2" t="s">
        <v>24</v>
      </c>
      <c r="I258" s="2" t="s">
        <v>695</v>
      </c>
    </row>
    <row r="259" spans="1:9" ht="25" x14ac:dyDescent="0.35">
      <c r="A259" s="2" t="s">
        <v>692</v>
      </c>
      <c r="B259" s="2" t="s">
        <v>385</v>
      </c>
      <c r="C259" s="2" t="s">
        <v>696</v>
      </c>
      <c r="D259" s="2" t="s">
        <v>91</v>
      </c>
      <c r="E259" s="2" t="s">
        <v>697</v>
      </c>
      <c r="F259" s="2" t="s">
        <v>170</v>
      </c>
      <c r="G259" s="2" t="s">
        <v>15</v>
      </c>
      <c r="H259" s="2" t="s">
        <v>24</v>
      </c>
      <c r="I259" s="2" t="s">
        <v>695</v>
      </c>
    </row>
    <row r="260" spans="1:9" ht="25" x14ac:dyDescent="0.35">
      <c r="A260" s="2" t="s">
        <v>692</v>
      </c>
      <c r="B260" s="2" t="s">
        <v>385</v>
      </c>
      <c r="C260" s="2" t="s">
        <v>698</v>
      </c>
      <c r="D260" s="2" t="s">
        <v>12</v>
      </c>
      <c r="E260" s="2" t="s">
        <v>699</v>
      </c>
      <c r="F260" s="2" t="s">
        <v>170</v>
      </c>
      <c r="G260" s="2" t="s">
        <v>15</v>
      </c>
      <c r="H260" s="2" t="s">
        <v>24</v>
      </c>
      <c r="I260" s="2" t="s">
        <v>695</v>
      </c>
    </row>
    <row r="261" spans="1:9" ht="25" x14ac:dyDescent="0.35">
      <c r="A261" s="2" t="s">
        <v>692</v>
      </c>
      <c r="B261" s="2" t="s">
        <v>385</v>
      </c>
      <c r="C261" s="2" t="s">
        <v>700</v>
      </c>
      <c r="D261" s="2" t="s">
        <v>12</v>
      </c>
      <c r="E261" s="2" t="s">
        <v>701</v>
      </c>
      <c r="F261" s="2" t="s">
        <v>170</v>
      </c>
      <c r="G261" s="2" t="s">
        <v>15</v>
      </c>
      <c r="H261" s="2" t="s">
        <v>24</v>
      </c>
      <c r="I261" s="2" t="s">
        <v>695</v>
      </c>
    </row>
    <row r="262" spans="1:9" ht="25" x14ac:dyDescent="0.35">
      <c r="A262" s="3" t="s">
        <v>702</v>
      </c>
      <c r="B262" s="3" t="s">
        <v>385</v>
      </c>
      <c r="C262" s="3" t="s">
        <v>703</v>
      </c>
      <c r="D262" s="3" t="s">
        <v>54</v>
      </c>
      <c r="E262" s="3" t="s">
        <v>704</v>
      </c>
      <c r="F262" s="3" t="s">
        <v>32</v>
      </c>
      <c r="G262" s="3" t="s">
        <v>23</v>
      </c>
      <c r="H262" s="3" t="s">
        <v>24</v>
      </c>
      <c r="I262" s="3" t="s">
        <v>705</v>
      </c>
    </row>
    <row r="263" spans="1:9" ht="25" x14ac:dyDescent="0.35">
      <c r="A263" s="3" t="s">
        <v>702</v>
      </c>
      <c r="B263" s="3" t="s">
        <v>385</v>
      </c>
      <c r="C263" s="3" t="s">
        <v>706</v>
      </c>
      <c r="D263" s="3" t="s">
        <v>30</v>
      </c>
      <c r="E263" s="3" t="s">
        <v>707</v>
      </c>
      <c r="F263" s="3" t="s">
        <v>32</v>
      </c>
      <c r="G263" s="3" t="s">
        <v>23</v>
      </c>
      <c r="H263" s="3" t="s">
        <v>24</v>
      </c>
      <c r="I263" s="3" t="s">
        <v>705</v>
      </c>
    </row>
    <row r="264" spans="1:9" ht="25" x14ac:dyDescent="0.35">
      <c r="A264" s="3" t="s">
        <v>702</v>
      </c>
      <c r="B264" s="3" t="s">
        <v>385</v>
      </c>
      <c r="C264" s="3" t="s">
        <v>708</v>
      </c>
      <c r="D264" s="3" t="s">
        <v>12</v>
      </c>
      <c r="E264" s="3" t="s">
        <v>709</v>
      </c>
      <c r="F264" s="3" t="s">
        <v>32</v>
      </c>
      <c r="G264" s="3" t="s">
        <v>23</v>
      </c>
      <c r="H264" s="3" t="s">
        <v>24</v>
      </c>
      <c r="I264" s="3" t="s">
        <v>705</v>
      </c>
    </row>
    <row r="265" spans="1:9" ht="25" x14ac:dyDescent="0.35">
      <c r="A265" s="2" t="s">
        <v>710</v>
      </c>
      <c r="B265" s="2" t="s">
        <v>385</v>
      </c>
      <c r="C265" s="2" t="s">
        <v>711</v>
      </c>
      <c r="D265" s="2" t="s">
        <v>30</v>
      </c>
      <c r="E265" s="2" t="s">
        <v>712</v>
      </c>
      <c r="F265" s="2" t="s">
        <v>32</v>
      </c>
      <c r="G265" s="2" t="s">
        <v>15</v>
      </c>
      <c r="H265" s="2" t="s">
        <v>16</v>
      </c>
      <c r="I265" s="2" t="s">
        <v>713</v>
      </c>
    </row>
    <row r="266" spans="1:9" ht="25" x14ac:dyDescent="0.35">
      <c r="A266" s="2" t="s">
        <v>710</v>
      </c>
      <c r="B266" s="2" t="s">
        <v>385</v>
      </c>
      <c r="C266" s="2" t="s">
        <v>714</v>
      </c>
      <c r="D266" s="2" t="s">
        <v>12</v>
      </c>
      <c r="E266" s="2" t="s">
        <v>26</v>
      </c>
      <c r="F266" s="2" t="s">
        <v>32</v>
      </c>
      <c r="G266" s="2" t="s">
        <v>15</v>
      </c>
      <c r="H266" s="2" t="s">
        <v>35</v>
      </c>
      <c r="I266" s="2" t="s">
        <v>713</v>
      </c>
    </row>
    <row r="267" spans="1:9" ht="25" x14ac:dyDescent="0.35">
      <c r="A267" s="3" t="s">
        <v>715</v>
      </c>
      <c r="B267" s="3" t="s">
        <v>385</v>
      </c>
      <c r="C267" s="3" t="s">
        <v>716</v>
      </c>
      <c r="D267" s="3" t="s">
        <v>38</v>
      </c>
      <c r="E267" s="3" t="s">
        <v>717</v>
      </c>
      <c r="F267" s="3" t="s">
        <v>38</v>
      </c>
      <c r="G267" s="3" t="s">
        <v>23</v>
      </c>
      <c r="H267" s="3" t="s">
        <v>27</v>
      </c>
      <c r="I267" s="3" t="s">
        <v>718</v>
      </c>
    </row>
    <row r="268" spans="1:9" ht="25" x14ac:dyDescent="0.35">
      <c r="A268" s="3" t="s">
        <v>715</v>
      </c>
      <c r="B268" s="3" t="s">
        <v>385</v>
      </c>
      <c r="C268" s="3" t="s">
        <v>719</v>
      </c>
      <c r="D268" s="3" t="s">
        <v>38</v>
      </c>
      <c r="E268" s="3" t="s">
        <v>720</v>
      </c>
      <c r="F268" s="3" t="s">
        <v>38</v>
      </c>
      <c r="G268" s="3" t="s">
        <v>23</v>
      </c>
      <c r="H268" s="3" t="s">
        <v>27</v>
      </c>
      <c r="I268" s="3" t="s">
        <v>718</v>
      </c>
    </row>
    <row r="269" spans="1:9" ht="50" x14ac:dyDescent="0.35">
      <c r="A269" s="2" t="s">
        <v>721</v>
      </c>
      <c r="B269" s="2" t="s">
        <v>385</v>
      </c>
      <c r="C269" s="9" t="s">
        <v>722</v>
      </c>
      <c r="D269" s="2" t="s">
        <v>168</v>
      </c>
      <c r="E269" s="2" t="s">
        <v>723</v>
      </c>
      <c r="F269" s="2" t="s">
        <v>170</v>
      </c>
      <c r="G269" s="2" t="s">
        <v>23</v>
      </c>
      <c r="H269" s="2" t="s">
        <v>87</v>
      </c>
      <c r="I269" s="2" t="s">
        <v>724</v>
      </c>
    </row>
    <row r="270" spans="1:9" ht="75" x14ac:dyDescent="0.35">
      <c r="A270" s="2" t="s">
        <v>721</v>
      </c>
      <c r="B270" s="2" t="s">
        <v>385</v>
      </c>
      <c r="C270" s="9" t="s">
        <v>725</v>
      </c>
      <c r="D270" s="2" t="s">
        <v>12</v>
      </c>
      <c r="E270" s="2" t="s">
        <v>726</v>
      </c>
      <c r="F270" s="2" t="s">
        <v>170</v>
      </c>
      <c r="G270" s="2" t="s">
        <v>23</v>
      </c>
      <c r="H270" s="2" t="s">
        <v>87</v>
      </c>
      <c r="I270" s="2" t="s">
        <v>724</v>
      </c>
    </row>
    <row r="271" spans="1:9" ht="25" x14ac:dyDescent="0.35">
      <c r="A271" s="3" t="s">
        <v>727</v>
      </c>
      <c r="B271" s="3" t="s">
        <v>385</v>
      </c>
      <c r="C271" s="3" t="s">
        <v>728</v>
      </c>
      <c r="D271" s="3" t="s">
        <v>91</v>
      </c>
      <c r="E271" s="3" t="s">
        <v>729</v>
      </c>
      <c r="F271" s="3" t="s">
        <v>274</v>
      </c>
      <c r="G271" s="3" t="s">
        <v>15</v>
      </c>
      <c r="H271" s="3" t="s">
        <v>16</v>
      </c>
      <c r="I271" s="3" t="s">
        <v>730</v>
      </c>
    </row>
    <row r="272" spans="1:9" ht="100" x14ac:dyDescent="0.35">
      <c r="A272" s="3" t="s">
        <v>727</v>
      </c>
      <c r="B272" s="3" t="s">
        <v>385</v>
      </c>
      <c r="C272" s="3" t="s">
        <v>731</v>
      </c>
      <c r="D272" s="3" t="s">
        <v>59</v>
      </c>
      <c r="E272" s="11" t="s">
        <v>732</v>
      </c>
      <c r="F272" s="3" t="s">
        <v>274</v>
      </c>
      <c r="G272" s="3" t="s">
        <v>15</v>
      </c>
      <c r="H272" s="3" t="s">
        <v>24</v>
      </c>
      <c r="I272" s="3" t="s">
        <v>730</v>
      </c>
    </row>
    <row r="273" spans="1:9" ht="25" x14ac:dyDescent="0.35">
      <c r="A273" s="2" t="s">
        <v>733</v>
      </c>
      <c r="B273" s="2" t="s">
        <v>385</v>
      </c>
      <c r="C273" s="2" t="s">
        <v>734</v>
      </c>
      <c r="D273" s="2" t="s">
        <v>38</v>
      </c>
      <c r="E273" s="2" t="s">
        <v>735</v>
      </c>
      <c r="F273" s="2" t="s">
        <v>86</v>
      </c>
      <c r="G273" s="2" t="s">
        <v>15</v>
      </c>
      <c r="H273" s="2" t="s">
        <v>27</v>
      </c>
      <c r="I273" s="2" t="s">
        <v>736</v>
      </c>
    </row>
    <row r="274" spans="1:9" ht="25" x14ac:dyDescent="0.35">
      <c r="A274" s="2" t="s">
        <v>733</v>
      </c>
      <c r="B274" s="2" t="s">
        <v>385</v>
      </c>
      <c r="C274" s="2" t="s">
        <v>737</v>
      </c>
      <c r="D274" s="2" t="s">
        <v>12</v>
      </c>
      <c r="E274" s="2" t="s">
        <v>213</v>
      </c>
      <c r="F274" s="2" t="s">
        <v>86</v>
      </c>
      <c r="G274" s="2" t="s">
        <v>15</v>
      </c>
      <c r="H274" s="2" t="s">
        <v>27</v>
      </c>
      <c r="I274" s="2" t="s">
        <v>736</v>
      </c>
    </row>
    <row r="275" spans="1:9" ht="25" x14ac:dyDescent="0.35">
      <c r="A275" s="3" t="s">
        <v>738</v>
      </c>
      <c r="B275" s="3" t="s">
        <v>385</v>
      </c>
      <c r="C275" s="3" t="s">
        <v>739</v>
      </c>
      <c r="D275" s="3" t="s">
        <v>91</v>
      </c>
      <c r="E275" s="3" t="s">
        <v>740</v>
      </c>
      <c r="F275" s="3" t="s">
        <v>336</v>
      </c>
      <c r="G275" s="3" t="s">
        <v>15</v>
      </c>
      <c r="H275" s="3" t="s">
        <v>132</v>
      </c>
      <c r="I275" s="3" t="s">
        <v>741</v>
      </c>
    </row>
    <row r="276" spans="1:9" ht="25" x14ac:dyDescent="0.35">
      <c r="A276" s="3" t="s">
        <v>738</v>
      </c>
      <c r="B276" s="3" t="s">
        <v>385</v>
      </c>
      <c r="C276" s="3" t="s">
        <v>742</v>
      </c>
      <c r="D276" s="3" t="s">
        <v>18</v>
      </c>
      <c r="E276" s="3" t="s">
        <v>743</v>
      </c>
      <c r="F276" s="3" t="s">
        <v>336</v>
      </c>
      <c r="G276" s="3" t="s">
        <v>15</v>
      </c>
      <c r="H276" s="3" t="s">
        <v>16</v>
      </c>
      <c r="I276" s="3" t="s">
        <v>741</v>
      </c>
    </row>
    <row r="277" spans="1:9" ht="37.5" x14ac:dyDescent="0.35">
      <c r="A277" s="2" t="s">
        <v>744</v>
      </c>
      <c r="B277" s="2" t="s">
        <v>385</v>
      </c>
      <c r="C277" s="2" t="s">
        <v>745</v>
      </c>
      <c r="D277" s="2" t="s">
        <v>18</v>
      </c>
      <c r="E277" s="2" t="s">
        <v>746</v>
      </c>
      <c r="F277" s="2" t="s">
        <v>274</v>
      </c>
      <c r="G277" s="2" t="s">
        <v>15</v>
      </c>
      <c r="H277" s="2" t="s">
        <v>69</v>
      </c>
      <c r="I277" s="2" t="s">
        <v>747</v>
      </c>
    </row>
    <row r="278" spans="1:9" ht="37.5" x14ac:dyDescent="0.35">
      <c r="A278" s="2" t="s">
        <v>744</v>
      </c>
      <c r="B278" s="2" t="s">
        <v>385</v>
      </c>
      <c r="C278" s="2" t="s">
        <v>748</v>
      </c>
      <c r="D278" s="2" t="s">
        <v>168</v>
      </c>
      <c r="E278" s="2" t="s">
        <v>749</v>
      </c>
      <c r="F278" s="2" t="s">
        <v>274</v>
      </c>
      <c r="G278" s="2" t="s">
        <v>15</v>
      </c>
      <c r="H278" s="2" t="s">
        <v>69</v>
      </c>
      <c r="I278" s="2" t="s">
        <v>747</v>
      </c>
    </row>
    <row r="279" spans="1:9" ht="25" x14ac:dyDescent="0.35">
      <c r="A279" s="2" t="s">
        <v>744</v>
      </c>
      <c r="B279" s="2" t="s">
        <v>385</v>
      </c>
      <c r="C279" s="2" t="s">
        <v>750</v>
      </c>
      <c r="D279" s="2" t="s">
        <v>168</v>
      </c>
      <c r="E279" s="2" t="s">
        <v>751</v>
      </c>
      <c r="F279" s="2" t="s">
        <v>274</v>
      </c>
      <c r="G279" s="2" t="s">
        <v>15</v>
      </c>
      <c r="H279" s="2" t="s">
        <v>69</v>
      </c>
      <c r="I279" s="2" t="s">
        <v>747</v>
      </c>
    </row>
    <row r="280" spans="1:9" ht="50" x14ac:dyDescent="0.35">
      <c r="A280" s="3" t="s">
        <v>752</v>
      </c>
      <c r="B280" s="3" t="s">
        <v>385</v>
      </c>
      <c r="C280" s="7" t="s">
        <v>753</v>
      </c>
      <c r="D280" s="3" t="s">
        <v>91</v>
      </c>
      <c r="E280" s="3" t="s">
        <v>754</v>
      </c>
      <c r="F280" s="3" t="s">
        <v>176</v>
      </c>
      <c r="G280" s="3" t="s">
        <v>15</v>
      </c>
      <c r="H280" s="3" t="s">
        <v>214</v>
      </c>
      <c r="I280" s="3" t="s">
        <v>755</v>
      </c>
    </row>
    <row r="281" spans="1:9" ht="25" x14ac:dyDescent="0.35">
      <c r="A281" s="3" t="s">
        <v>752</v>
      </c>
      <c r="B281" s="3" t="s">
        <v>385</v>
      </c>
      <c r="C281" s="3" t="s">
        <v>756</v>
      </c>
      <c r="D281" s="3" t="s">
        <v>12</v>
      </c>
      <c r="E281" s="3" t="s">
        <v>757</v>
      </c>
      <c r="F281" s="3" t="s">
        <v>176</v>
      </c>
      <c r="G281" s="3" t="s">
        <v>15</v>
      </c>
      <c r="H281" s="3" t="s">
        <v>132</v>
      </c>
      <c r="I281" s="3" t="s">
        <v>755</v>
      </c>
    </row>
    <row r="282" spans="1:9" ht="37.5" x14ac:dyDescent="0.35">
      <c r="A282" s="3" t="s">
        <v>752</v>
      </c>
      <c r="B282" s="3" t="s">
        <v>385</v>
      </c>
      <c r="C282" s="3" t="s">
        <v>758</v>
      </c>
      <c r="D282" s="3" t="s">
        <v>355</v>
      </c>
      <c r="E282" s="3" t="s">
        <v>759</v>
      </c>
      <c r="F282" s="3" t="s">
        <v>176</v>
      </c>
      <c r="G282" s="3" t="s">
        <v>15</v>
      </c>
      <c r="H282" s="3" t="s">
        <v>132</v>
      </c>
      <c r="I282" s="3" t="s">
        <v>755</v>
      </c>
    </row>
    <row r="283" spans="1:9" ht="37.5" x14ac:dyDescent="0.35">
      <c r="A283" s="3" t="s">
        <v>752</v>
      </c>
      <c r="B283" s="3" t="s">
        <v>385</v>
      </c>
      <c r="C283" s="3" t="s">
        <v>760</v>
      </c>
      <c r="D283" s="3" t="s">
        <v>12</v>
      </c>
      <c r="E283" s="3" t="s">
        <v>761</v>
      </c>
      <c r="F283" s="3" t="s">
        <v>176</v>
      </c>
      <c r="G283" s="3" t="s">
        <v>15</v>
      </c>
      <c r="H283" s="3" t="s">
        <v>24</v>
      </c>
      <c r="I283" s="3" t="s">
        <v>755</v>
      </c>
    </row>
    <row r="284" spans="1:9" ht="25" x14ac:dyDescent="0.35">
      <c r="A284" s="2" t="s">
        <v>762</v>
      </c>
      <c r="B284" s="2" t="s">
        <v>385</v>
      </c>
      <c r="C284" s="2" t="s">
        <v>763</v>
      </c>
      <c r="D284" s="2" t="s">
        <v>12</v>
      </c>
      <c r="E284" s="2" t="s">
        <v>764</v>
      </c>
      <c r="F284" s="2" t="s">
        <v>12</v>
      </c>
      <c r="G284" s="2" t="s">
        <v>23</v>
      </c>
      <c r="H284" s="2" t="s">
        <v>132</v>
      </c>
      <c r="I284" s="2" t="s">
        <v>765</v>
      </c>
    </row>
    <row r="285" spans="1:9" ht="25" x14ac:dyDescent="0.35">
      <c r="A285" s="2" t="s">
        <v>762</v>
      </c>
      <c r="B285" s="2" t="s">
        <v>385</v>
      </c>
      <c r="C285" s="2" t="s">
        <v>766</v>
      </c>
      <c r="D285" s="2" t="s">
        <v>12</v>
      </c>
      <c r="E285" s="2" t="s">
        <v>767</v>
      </c>
      <c r="F285" s="2" t="s">
        <v>12</v>
      </c>
      <c r="G285" s="2" t="s">
        <v>23</v>
      </c>
      <c r="H285" s="2" t="s">
        <v>132</v>
      </c>
      <c r="I285" s="2" t="s">
        <v>765</v>
      </c>
    </row>
    <row r="286" spans="1:9" ht="37.5" x14ac:dyDescent="0.35">
      <c r="A286" s="3" t="s">
        <v>768</v>
      </c>
      <c r="B286" s="3" t="s">
        <v>385</v>
      </c>
      <c r="C286" s="3" t="s">
        <v>769</v>
      </c>
      <c r="D286" s="3" t="s">
        <v>91</v>
      </c>
      <c r="E286" s="3" t="s">
        <v>770</v>
      </c>
      <c r="F286" s="3" t="s">
        <v>274</v>
      </c>
      <c r="G286" s="3" t="s">
        <v>23</v>
      </c>
      <c r="H286" s="3" t="s">
        <v>35</v>
      </c>
      <c r="I286" s="3" t="s">
        <v>771</v>
      </c>
    </row>
    <row r="287" spans="1:9" ht="37.5" x14ac:dyDescent="0.35">
      <c r="A287" s="3" t="s">
        <v>768</v>
      </c>
      <c r="B287" s="3" t="s">
        <v>385</v>
      </c>
      <c r="C287" s="3" t="s">
        <v>772</v>
      </c>
      <c r="D287" s="3" t="s">
        <v>483</v>
      </c>
      <c r="E287" s="3" t="s">
        <v>773</v>
      </c>
      <c r="F287" s="3" t="s">
        <v>274</v>
      </c>
      <c r="G287" s="3" t="s">
        <v>23</v>
      </c>
      <c r="H287" s="3" t="s">
        <v>35</v>
      </c>
      <c r="I287" s="3" t="s">
        <v>771</v>
      </c>
    </row>
    <row r="288" spans="1:9" ht="25" x14ac:dyDescent="0.35">
      <c r="A288" s="2" t="s">
        <v>774</v>
      </c>
      <c r="B288" s="2" t="s">
        <v>385</v>
      </c>
      <c r="C288" s="2" t="s">
        <v>775</v>
      </c>
      <c r="D288" s="2" t="s">
        <v>91</v>
      </c>
      <c r="E288" s="2" t="s">
        <v>776</v>
      </c>
      <c r="F288" s="2" t="s">
        <v>170</v>
      </c>
      <c r="G288" s="2" t="s">
        <v>15</v>
      </c>
      <c r="H288" s="2" t="s">
        <v>132</v>
      </c>
      <c r="I288" s="2" t="s">
        <v>777</v>
      </c>
    </row>
    <row r="289" spans="1:9" ht="25" x14ac:dyDescent="0.35">
      <c r="A289" s="2" t="s">
        <v>774</v>
      </c>
      <c r="B289" s="2" t="s">
        <v>385</v>
      </c>
      <c r="C289" s="2" t="s">
        <v>778</v>
      </c>
      <c r="D289" s="2" t="s">
        <v>91</v>
      </c>
      <c r="E289" s="2" t="s">
        <v>779</v>
      </c>
      <c r="F289" s="2" t="s">
        <v>170</v>
      </c>
      <c r="G289" s="2" t="s">
        <v>15</v>
      </c>
      <c r="H289" s="2" t="s">
        <v>132</v>
      </c>
      <c r="I289" s="2" t="s">
        <v>777</v>
      </c>
    </row>
    <row r="290" spans="1:9" ht="25" x14ac:dyDescent="0.35">
      <c r="A290" s="2" t="s">
        <v>774</v>
      </c>
      <c r="B290" s="2" t="s">
        <v>385</v>
      </c>
      <c r="C290" s="2" t="s">
        <v>780</v>
      </c>
      <c r="D290" s="2" t="s">
        <v>12</v>
      </c>
      <c r="E290" s="2" t="s">
        <v>63</v>
      </c>
      <c r="F290" s="2" t="s">
        <v>170</v>
      </c>
      <c r="G290" s="2" t="s">
        <v>15</v>
      </c>
      <c r="H290" s="2" t="s">
        <v>132</v>
      </c>
      <c r="I290" s="2" t="s">
        <v>777</v>
      </c>
    </row>
    <row r="291" spans="1:9" ht="25" x14ac:dyDescent="0.35">
      <c r="A291" s="3" t="s">
        <v>781</v>
      </c>
      <c r="B291" s="3" t="s">
        <v>385</v>
      </c>
      <c r="C291" s="3" t="s">
        <v>782</v>
      </c>
      <c r="D291" s="3" t="s">
        <v>12</v>
      </c>
      <c r="E291" s="3" t="s">
        <v>63</v>
      </c>
      <c r="F291" s="3" t="s">
        <v>12</v>
      </c>
      <c r="G291" s="3" t="s">
        <v>23</v>
      </c>
      <c r="H291" s="3" t="s">
        <v>132</v>
      </c>
      <c r="I291" s="3" t="s">
        <v>783</v>
      </c>
    </row>
    <row r="292" spans="1:9" ht="25" x14ac:dyDescent="0.35">
      <c r="A292" s="3" t="s">
        <v>781</v>
      </c>
      <c r="B292" s="3" t="s">
        <v>385</v>
      </c>
      <c r="C292" s="3" t="s">
        <v>784</v>
      </c>
      <c r="D292" s="3" t="s">
        <v>12</v>
      </c>
      <c r="E292" s="3" t="s">
        <v>785</v>
      </c>
      <c r="F292" s="3" t="s">
        <v>12</v>
      </c>
      <c r="G292" s="3" t="s">
        <v>23</v>
      </c>
      <c r="H292" s="3" t="s">
        <v>132</v>
      </c>
      <c r="I292" s="3" t="s">
        <v>783</v>
      </c>
    </row>
    <row r="293" spans="1:9" ht="25" x14ac:dyDescent="0.35">
      <c r="A293" s="2" t="s">
        <v>786</v>
      </c>
      <c r="B293" s="2" t="s">
        <v>385</v>
      </c>
      <c r="C293" s="2" t="s">
        <v>787</v>
      </c>
      <c r="D293" s="2" t="s">
        <v>12</v>
      </c>
      <c r="E293" s="2" t="s">
        <v>788</v>
      </c>
      <c r="F293" s="2" t="s">
        <v>14</v>
      </c>
      <c r="G293" s="2" t="s">
        <v>15</v>
      </c>
      <c r="H293" s="2" t="s">
        <v>35</v>
      </c>
      <c r="I293" s="2" t="s">
        <v>771</v>
      </c>
    </row>
    <row r="294" spans="1:9" ht="37.5" x14ac:dyDescent="0.35">
      <c r="A294" s="2" t="s">
        <v>786</v>
      </c>
      <c r="B294" s="2" t="s">
        <v>385</v>
      </c>
      <c r="C294" s="2" t="s">
        <v>789</v>
      </c>
      <c r="D294" s="2" t="s">
        <v>18</v>
      </c>
      <c r="E294" s="2" t="s">
        <v>790</v>
      </c>
      <c r="F294" s="2" t="s">
        <v>14</v>
      </c>
      <c r="G294" s="2" t="s">
        <v>15</v>
      </c>
      <c r="H294" s="2" t="s">
        <v>35</v>
      </c>
      <c r="I294" s="2" t="s">
        <v>771</v>
      </c>
    </row>
    <row r="295" spans="1:9" ht="25" x14ac:dyDescent="0.35">
      <c r="A295" s="3" t="s">
        <v>791</v>
      </c>
      <c r="B295" s="3" t="s">
        <v>385</v>
      </c>
      <c r="C295" s="3" t="s">
        <v>792</v>
      </c>
      <c r="D295" s="3" t="s">
        <v>12</v>
      </c>
      <c r="E295" s="3" t="s">
        <v>793</v>
      </c>
      <c r="F295" s="3" t="s">
        <v>12</v>
      </c>
      <c r="G295" s="3" t="s">
        <v>23</v>
      </c>
      <c r="H295" s="3" t="s">
        <v>132</v>
      </c>
      <c r="I295" s="3" t="s">
        <v>794</v>
      </c>
    </row>
    <row r="296" spans="1:9" ht="25" x14ac:dyDescent="0.35">
      <c r="A296" s="3" t="s">
        <v>791</v>
      </c>
      <c r="B296" s="3" t="s">
        <v>385</v>
      </c>
      <c r="C296" s="3" t="s">
        <v>795</v>
      </c>
      <c r="D296" s="3" t="s">
        <v>12</v>
      </c>
      <c r="E296" s="3" t="s">
        <v>63</v>
      </c>
      <c r="F296" s="3" t="s">
        <v>12</v>
      </c>
      <c r="G296" s="3" t="s">
        <v>23</v>
      </c>
      <c r="H296" s="3" t="s">
        <v>132</v>
      </c>
      <c r="I296" s="3" t="s">
        <v>794</v>
      </c>
    </row>
    <row r="297" spans="1:9" ht="25" x14ac:dyDescent="0.35">
      <c r="A297" s="2" t="s">
        <v>796</v>
      </c>
      <c r="B297" s="2" t="s">
        <v>385</v>
      </c>
      <c r="C297" s="2" t="s">
        <v>797</v>
      </c>
      <c r="D297" s="2" t="s">
        <v>91</v>
      </c>
      <c r="E297" s="2" t="s">
        <v>798</v>
      </c>
      <c r="F297" s="2" t="s">
        <v>274</v>
      </c>
      <c r="G297" s="2" t="s">
        <v>15</v>
      </c>
      <c r="H297" s="2" t="s">
        <v>35</v>
      </c>
      <c r="I297" s="2" t="s">
        <v>771</v>
      </c>
    </row>
    <row r="298" spans="1:9" ht="25" x14ac:dyDescent="0.35">
      <c r="A298" s="2" t="s">
        <v>796</v>
      </c>
      <c r="B298" s="2" t="s">
        <v>385</v>
      </c>
      <c r="C298" s="2" t="s">
        <v>799</v>
      </c>
      <c r="D298" s="2" t="s">
        <v>59</v>
      </c>
      <c r="E298" s="2" t="s">
        <v>800</v>
      </c>
      <c r="F298" s="2" t="s">
        <v>274</v>
      </c>
      <c r="G298" s="2" t="s">
        <v>15</v>
      </c>
      <c r="H298" s="2" t="s">
        <v>35</v>
      </c>
      <c r="I298" s="2" t="s">
        <v>771</v>
      </c>
    </row>
    <row r="299" spans="1:9" ht="25" x14ac:dyDescent="0.35">
      <c r="A299" s="3" t="s">
        <v>801</v>
      </c>
      <c r="B299" s="3" t="s">
        <v>385</v>
      </c>
      <c r="C299" s="3" t="s">
        <v>802</v>
      </c>
      <c r="D299" s="3" t="s">
        <v>168</v>
      </c>
      <c r="E299" s="3" t="s">
        <v>803</v>
      </c>
      <c r="F299" s="3" t="s">
        <v>170</v>
      </c>
      <c r="G299" s="3" t="s">
        <v>23</v>
      </c>
      <c r="H299" s="3" t="s">
        <v>24</v>
      </c>
      <c r="I299" s="3" t="s">
        <v>804</v>
      </c>
    </row>
    <row r="300" spans="1:9" ht="25" x14ac:dyDescent="0.35">
      <c r="A300" s="3" t="s">
        <v>801</v>
      </c>
      <c r="B300" s="3" t="s">
        <v>385</v>
      </c>
      <c r="C300" s="3" t="s">
        <v>805</v>
      </c>
      <c r="D300" s="3" t="s">
        <v>12</v>
      </c>
      <c r="E300" s="3" t="s">
        <v>63</v>
      </c>
      <c r="F300" s="3" t="s">
        <v>170</v>
      </c>
      <c r="G300" s="3" t="s">
        <v>23</v>
      </c>
      <c r="H300" s="3" t="s">
        <v>24</v>
      </c>
      <c r="I300" s="3" t="s">
        <v>804</v>
      </c>
    </row>
    <row r="301" spans="1:9" ht="25" x14ac:dyDescent="0.35">
      <c r="A301" s="2" t="s">
        <v>806</v>
      </c>
      <c r="B301" s="2" t="s">
        <v>385</v>
      </c>
      <c r="C301" s="2" t="s">
        <v>807</v>
      </c>
      <c r="D301" s="2" t="s">
        <v>116</v>
      </c>
      <c r="E301" s="2" t="s">
        <v>808</v>
      </c>
      <c r="F301" s="2" t="s">
        <v>291</v>
      </c>
      <c r="G301" s="2" t="s">
        <v>15</v>
      </c>
      <c r="H301" s="2" t="s">
        <v>132</v>
      </c>
      <c r="I301" s="2" t="s">
        <v>809</v>
      </c>
    </row>
    <row r="302" spans="1:9" ht="25" x14ac:dyDescent="0.35">
      <c r="A302" s="2" t="s">
        <v>806</v>
      </c>
      <c r="B302" s="2" t="s">
        <v>385</v>
      </c>
      <c r="C302" s="2" t="s">
        <v>810</v>
      </c>
      <c r="D302" s="2" t="s">
        <v>12</v>
      </c>
      <c r="E302" s="2" t="s">
        <v>811</v>
      </c>
      <c r="F302" s="2" t="s">
        <v>291</v>
      </c>
      <c r="G302" s="2" t="s">
        <v>15</v>
      </c>
      <c r="H302" s="2" t="s">
        <v>132</v>
      </c>
      <c r="I302" s="2" t="s">
        <v>809</v>
      </c>
    </row>
    <row r="303" spans="1:9" ht="25" x14ac:dyDescent="0.35">
      <c r="A303" s="3" t="s">
        <v>812</v>
      </c>
      <c r="B303" s="3" t="s">
        <v>385</v>
      </c>
      <c r="C303" s="3" t="s">
        <v>813</v>
      </c>
      <c r="D303" s="3" t="s">
        <v>91</v>
      </c>
      <c r="E303" s="3" t="s">
        <v>814</v>
      </c>
      <c r="F303" s="3" t="s">
        <v>91</v>
      </c>
      <c r="G303" s="3" t="s">
        <v>23</v>
      </c>
      <c r="H303" s="3" t="s">
        <v>69</v>
      </c>
      <c r="I303" s="3" t="s">
        <v>815</v>
      </c>
    </row>
    <row r="304" spans="1:9" ht="25" x14ac:dyDescent="0.35">
      <c r="A304" s="3" t="s">
        <v>812</v>
      </c>
      <c r="B304" s="3" t="s">
        <v>385</v>
      </c>
      <c r="C304" s="3" t="s">
        <v>816</v>
      </c>
      <c r="D304" s="3" t="s">
        <v>91</v>
      </c>
      <c r="E304" s="3" t="s">
        <v>817</v>
      </c>
      <c r="F304" s="3" t="s">
        <v>91</v>
      </c>
      <c r="G304" s="3" t="s">
        <v>23</v>
      </c>
      <c r="H304" s="3" t="s">
        <v>132</v>
      </c>
      <c r="I304" s="3" t="s">
        <v>815</v>
      </c>
    </row>
    <row r="305" spans="1:9" ht="25" x14ac:dyDescent="0.35">
      <c r="A305" s="2" t="s">
        <v>818</v>
      </c>
      <c r="B305" s="2" t="s">
        <v>385</v>
      </c>
      <c r="C305" s="2" t="s">
        <v>819</v>
      </c>
      <c r="D305" s="2" t="s">
        <v>12</v>
      </c>
      <c r="E305" s="2" t="s">
        <v>820</v>
      </c>
      <c r="F305" s="2" t="s">
        <v>170</v>
      </c>
      <c r="G305" s="2" t="s">
        <v>23</v>
      </c>
      <c r="H305" s="2" t="s">
        <v>27</v>
      </c>
      <c r="I305" s="2" t="s">
        <v>821</v>
      </c>
    </row>
    <row r="306" spans="1:9" ht="25" x14ac:dyDescent="0.35">
      <c r="A306" s="2" t="s">
        <v>818</v>
      </c>
      <c r="B306" s="2" t="s">
        <v>385</v>
      </c>
      <c r="C306" s="9" t="s">
        <v>822</v>
      </c>
      <c r="D306" s="2" t="s">
        <v>91</v>
      </c>
      <c r="E306" s="2" t="s">
        <v>823</v>
      </c>
      <c r="F306" s="2" t="s">
        <v>170</v>
      </c>
      <c r="G306" s="2" t="s">
        <v>23</v>
      </c>
      <c r="H306" s="2" t="s">
        <v>27</v>
      </c>
      <c r="I306" s="2" t="s">
        <v>821</v>
      </c>
    </row>
    <row r="307" spans="1:9" ht="25" x14ac:dyDescent="0.35">
      <c r="A307" s="2" t="s">
        <v>818</v>
      </c>
      <c r="B307" s="2" t="s">
        <v>385</v>
      </c>
      <c r="C307" s="2" t="s">
        <v>824</v>
      </c>
      <c r="D307" s="2" t="s">
        <v>168</v>
      </c>
      <c r="E307" s="2" t="s">
        <v>825</v>
      </c>
      <c r="F307" s="2" t="s">
        <v>170</v>
      </c>
      <c r="G307" s="2" t="s">
        <v>23</v>
      </c>
      <c r="H307" s="2" t="s">
        <v>27</v>
      </c>
      <c r="I307" s="2" t="s">
        <v>821</v>
      </c>
    </row>
    <row r="308" spans="1:9" ht="25" x14ac:dyDescent="0.35">
      <c r="A308" s="3" t="s">
        <v>826</v>
      </c>
      <c r="B308" s="3" t="s">
        <v>385</v>
      </c>
      <c r="C308" s="3" t="s">
        <v>827</v>
      </c>
      <c r="D308" s="3" t="s">
        <v>12</v>
      </c>
      <c r="E308" s="3" t="s">
        <v>828</v>
      </c>
      <c r="F308" s="3" t="s">
        <v>12</v>
      </c>
      <c r="G308" s="3" t="s">
        <v>23</v>
      </c>
      <c r="H308" s="3" t="s">
        <v>214</v>
      </c>
      <c r="I308" s="3" t="s">
        <v>829</v>
      </c>
    </row>
    <row r="309" spans="1:9" ht="25" x14ac:dyDescent="0.35">
      <c r="A309" s="3" t="s">
        <v>826</v>
      </c>
      <c r="B309" s="3" t="s">
        <v>385</v>
      </c>
      <c r="C309" s="3" t="s">
        <v>830</v>
      </c>
      <c r="D309" s="3" t="s">
        <v>12</v>
      </c>
      <c r="E309" s="3" t="s">
        <v>831</v>
      </c>
      <c r="F309" s="3" t="s">
        <v>12</v>
      </c>
      <c r="G309" s="3" t="s">
        <v>23</v>
      </c>
      <c r="H309" s="3" t="s">
        <v>214</v>
      </c>
      <c r="I309" s="3" t="s">
        <v>829</v>
      </c>
    </row>
    <row r="310" spans="1:9" ht="37.5" x14ac:dyDescent="0.35">
      <c r="A310" s="2" t="s">
        <v>832</v>
      </c>
      <c r="B310" s="2" t="s">
        <v>385</v>
      </c>
      <c r="C310" s="2" t="s">
        <v>833</v>
      </c>
      <c r="D310" s="2" t="s">
        <v>310</v>
      </c>
      <c r="E310" s="2" t="s">
        <v>834</v>
      </c>
      <c r="F310" s="2" t="s">
        <v>310</v>
      </c>
      <c r="G310" s="2" t="s">
        <v>23</v>
      </c>
      <c r="H310" s="2" t="s">
        <v>132</v>
      </c>
      <c r="I310" s="2" t="s">
        <v>835</v>
      </c>
    </row>
    <row r="311" spans="1:9" ht="37.5" x14ac:dyDescent="0.35">
      <c r="A311" s="2" t="s">
        <v>832</v>
      </c>
      <c r="B311" s="2" t="s">
        <v>385</v>
      </c>
      <c r="C311" s="2" t="s">
        <v>836</v>
      </c>
      <c r="D311" s="2" t="s">
        <v>310</v>
      </c>
      <c r="E311" s="2" t="s">
        <v>837</v>
      </c>
      <c r="F311" s="2" t="s">
        <v>310</v>
      </c>
      <c r="G311" s="2" t="s">
        <v>23</v>
      </c>
      <c r="H311" s="2" t="s">
        <v>27</v>
      </c>
      <c r="I311" s="2" t="s">
        <v>835</v>
      </c>
    </row>
    <row r="312" spans="1:9" ht="25" x14ac:dyDescent="0.35">
      <c r="A312" s="3" t="s">
        <v>838</v>
      </c>
      <c r="B312" s="3" t="s">
        <v>385</v>
      </c>
      <c r="C312" s="3" t="s">
        <v>839</v>
      </c>
      <c r="D312" s="3" t="s">
        <v>178</v>
      </c>
      <c r="E312" s="3" t="s">
        <v>840</v>
      </c>
      <c r="F312" s="3" t="s">
        <v>366</v>
      </c>
      <c r="G312" s="3" t="s">
        <v>15</v>
      </c>
      <c r="H312" s="3" t="s">
        <v>24</v>
      </c>
      <c r="I312" s="3" t="s">
        <v>713</v>
      </c>
    </row>
    <row r="313" spans="1:9" ht="25" x14ac:dyDescent="0.35">
      <c r="A313" s="3" t="s">
        <v>838</v>
      </c>
      <c r="B313" s="3" t="s">
        <v>385</v>
      </c>
      <c r="C313" s="3" t="s">
        <v>841</v>
      </c>
      <c r="D313" s="3" t="s">
        <v>12</v>
      </c>
      <c r="E313" s="3" t="s">
        <v>26</v>
      </c>
      <c r="F313" s="3" t="s">
        <v>366</v>
      </c>
      <c r="G313" s="3" t="s">
        <v>15</v>
      </c>
      <c r="H313" s="3" t="s">
        <v>24</v>
      </c>
      <c r="I313" s="3" t="s">
        <v>713</v>
      </c>
    </row>
    <row r="314" spans="1:9" ht="25" x14ac:dyDescent="0.35">
      <c r="A314" s="2" t="s">
        <v>842</v>
      </c>
      <c r="B314" s="2" t="s">
        <v>385</v>
      </c>
      <c r="C314" s="2" t="s">
        <v>843</v>
      </c>
      <c r="D314" s="2" t="s">
        <v>38</v>
      </c>
      <c r="E314" s="2" t="s">
        <v>844</v>
      </c>
      <c r="F314" s="2" t="s">
        <v>38</v>
      </c>
      <c r="G314" s="2" t="s">
        <v>23</v>
      </c>
      <c r="H314" s="2" t="s">
        <v>27</v>
      </c>
      <c r="I314" s="2" t="s">
        <v>845</v>
      </c>
    </row>
    <row r="315" spans="1:9" ht="25" x14ac:dyDescent="0.35">
      <c r="A315" s="2" t="s">
        <v>842</v>
      </c>
      <c r="B315" s="2" t="s">
        <v>385</v>
      </c>
      <c r="C315" s="2" t="s">
        <v>846</v>
      </c>
      <c r="D315" s="2" t="s">
        <v>38</v>
      </c>
      <c r="E315" s="2" t="s">
        <v>593</v>
      </c>
      <c r="F315" s="2" t="s">
        <v>38</v>
      </c>
      <c r="G315" s="2" t="s">
        <v>23</v>
      </c>
      <c r="H315" s="2" t="s">
        <v>27</v>
      </c>
      <c r="I315" s="2" t="s">
        <v>845</v>
      </c>
    </row>
    <row r="316" spans="1:9" ht="25" x14ac:dyDescent="0.35">
      <c r="A316" s="3" t="s">
        <v>847</v>
      </c>
      <c r="B316" s="3" t="s">
        <v>385</v>
      </c>
      <c r="C316" s="3" t="s">
        <v>848</v>
      </c>
      <c r="D316" s="3" t="s">
        <v>12</v>
      </c>
      <c r="E316" s="3" t="s">
        <v>63</v>
      </c>
      <c r="F316" s="3" t="s">
        <v>32</v>
      </c>
      <c r="G316" s="3" t="s">
        <v>15</v>
      </c>
      <c r="H316" s="3" t="s">
        <v>69</v>
      </c>
      <c r="I316" s="3" t="s">
        <v>849</v>
      </c>
    </row>
    <row r="317" spans="1:9" ht="25" x14ac:dyDescent="0.35">
      <c r="A317" s="3" t="s">
        <v>847</v>
      </c>
      <c r="B317" s="3" t="s">
        <v>385</v>
      </c>
      <c r="C317" s="3" t="s">
        <v>850</v>
      </c>
      <c r="D317" s="3" t="s">
        <v>30</v>
      </c>
      <c r="E317" s="3" t="s">
        <v>851</v>
      </c>
      <c r="F317" s="3" t="s">
        <v>32</v>
      </c>
      <c r="G317" s="3" t="s">
        <v>15</v>
      </c>
      <c r="H317" s="3" t="s">
        <v>69</v>
      </c>
      <c r="I317" s="3" t="s">
        <v>849</v>
      </c>
    </row>
    <row r="318" spans="1:9" ht="25" x14ac:dyDescent="0.35">
      <c r="A318" s="2" t="s">
        <v>852</v>
      </c>
      <c r="B318" s="2" t="s">
        <v>385</v>
      </c>
      <c r="C318" s="2" t="s">
        <v>853</v>
      </c>
      <c r="D318" s="2" t="s">
        <v>12</v>
      </c>
      <c r="E318" s="2" t="s">
        <v>854</v>
      </c>
      <c r="F318" s="2" t="s">
        <v>170</v>
      </c>
      <c r="G318" s="2" t="s">
        <v>15</v>
      </c>
      <c r="H318" s="2" t="s">
        <v>24</v>
      </c>
      <c r="I318" s="2" t="s">
        <v>855</v>
      </c>
    </row>
    <row r="319" spans="1:9" ht="25" x14ac:dyDescent="0.35">
      <c r="A319" s="2" t="s">
        <v>852</v>
      </c>
      <c r="B319" s="2" t="s">
        <v>385</v>
      </c>
      <c r="C319" s="2" t="s">
        <v>856</v>
      </c>
      <c r="D319" s="2" t="s">
        <v>91</v>
      </c>
      <c r="E319" s="2" t="s">
        <v>857</v>
      </c>
      <c r="F319" s="2" t="s">
        <v>170</v>
      </c>
      <c r="G319" s="2" t="s">
        <v>15</v>
      </c>
      <c r="H319" s="2" t="s">
        <v>24</v>
      </c>
      <c r="I319" s="2" t="s">
        <v>855</v>
      </c>
    </row>
    <row r="320" spans="1:9" ht="25" x14ac:dyDescent="0.35">
      <c r="A320" s="2" t="s">
        <v>852</v>
      </c>
      <c r="B320" s="2" t="s">
        <v>385</v>
      </c>
      <c r="C320" s="2" t="s">
        <v>858</v>
      </c>
      <c r="D320" s="2" t="s">
        <v>12</v>
      </c>
      <c r="E320" s="2" t="s">
        <v>859</v>
      </c>
      <c r="F320" s="2" t="s">
        <v>170</v>
      </c>
      <c r="G320" s="2" t="s">
        <v>15</v>
      </c>
      <c r="H320" s="2" t="s">
        <v>24</v>
      </c>
      <c r="I320" s="2" t="s">
        <v>855</v>
      </c>
    </row>
    <row r="321" spans="1:9" ht="25" x14ac:dyDescent="0.35">
      <c r="A321" s="2" t="s">
        <v>852</v>
      </c>
      <c r="B321" s="2" t="s">
        <v>385</v>
      </c>
      <c r="C321" s="2" t="s">
        <v>860</v>
      </c>
      <c r="D321" s="2" t="s">
        <v>12</v>
      </c>
      <c r="E321" s="2" t="s">
        <v>63</v>
      </c>
      <c r="F321" s="2" t="s">
        <v>170</v>
      </c>
      <c r="G321" s="2" t="s">
        <v>15</v>
      </c>
      <c r="H321" s="2" t="s">
        <v>24</v>
      </c>
      <c r="I321" s="2" t="s">
        <v>855</v>
      </c>
    </row>
    <row r="322" spans="1:9" ht="25" x14ac:dyDescent="0.35">
      <c r="A322" s="3" t="s">
        <v>861</v>
      </c>
      <c r="B322" s="3" t="s">
        <v>385</v>
      </c>
      <c r="C322" s="3" t="s">
        <v>862</v>
      </c>
      <c r="D322" s="3" t="s">
        <v>59</v>
      </c>
      <c r="E322" s="3" t="s">
        <v>863</v>
      </c>
      <c r="F322" s="3" t="s">
        <v>14</v>
      </c>
      <c r="G322" s="3" t="s">
        <v>23</v>
      </c>
      <c r="H322" s="3" t="s">
        <v>214</v>
      </c>
      <c r="I322" s="3" t="s">
        <v>864</v>
      </c>
    </row>
    <row r="323" spans="1:9" ht="25" x14ac:dyDescent="0.35">
      <c r="A323" s="3" t="s">
        <v>861</v>
      </c>
      <c r="B323" s="3" t="s">
        <v>385</v>
      </c>
      <c r="C323" s="3" t="s">
        <v>865</v>
      </c>
      <c r="D323" s="3" t="s">
        <v>12</v>
      </c>
      <c r="E323" s="3" t="s">
        <v>866</v>
      </c>
      <c r="F323" s="3" t="s">
        <v>14</v>
      </c>
      <c r="G323" s="3" t="s">
        <v>23</v>
      </c>
      <c r="H323" s="3" t="s">
        <v>214</v>
      </c>
      <c r="I323" s="3" t="s">
        <v>864</v>
      </c>
    </row>
    <row r="324" spans="1:9" ht="25" x14ac:dyDescent="0.35">
      <c r="A324" s="2" t="s">
        <v>867</v>
      </c>
      <c r="B324" s="2" t="s">
        <v>385</v>
      </c>
      <c r="C324" s="2" t="s">
        <v>868</v>
      </c>
      <c r="D324" s="2" t="s">
        <v>12</v>
      </c>
      <c r="E324" s="2" t="s">
        <v>256</v>
      </c>
      <c r="F324" s="2" t="s">
        <v>12</v>
      </c>
      <c r="G324" s="2" t="s">
        <v>23</v>
      </c>
      <c r="H324" s="2" t="s">
        <v>214</v>
      </c>
      <c r="I324" s="2" t="s">
        <v>864</v>
      </c>
    </row>
    <row r="325" spans="1:9" ht="25" x14ac:dyDescent="0.35">
      <c r="A325" s="2" t="s">
        <v>867</v>
      </c>
      <c r="B325" s="2" t="s">
        <v>385</v>
      </c>
      <c r="C325" s="2" t="s">
        <v>869</v>
      </c>
      <c r="D325" s="2" t="s">
        <v>12</v>
      </c>
      <c r="E325" s="2" t="s">
        <v>870</v>
      </c>
      <c r="F325" s="2" t="s">
        <v>12</v>
      </c>
      <c r="G325" s="2" t="s">
        <v>23</v>
      </c>
      <c r="H325" s="2" t="s">
        <v>214</v>
      </c>
      <c r="I325" s="2" t="s">
        <v>864</v>
      </c>
    </row>
    <row r="326" spans="1:9" ht="25" x14ac:dyDescent="0.35">
      <c r="A326" s="3" t="s">
        <v>871</v>
      </c>
      <c r="B326" s="3" t="s">
        <v>385</v>
      </c>
      <c r="C326" s="3" t="s">
        <v>872</v>
      </c>
      <c r="D326" s="3" t="s">
        <v>12</v>
      </c>
      <c r="E326" s="3" t="s">
        <v>859</v>
      </c>
      <c r="F326" s="3" t="s">
        <v>12</v>
      </c>
      <c r="G326" s="3" t="s">
        <v>23</v>
      </c>
      <c r="H326" s="3" t="s">
        <v>87</v>
      </c>
      <c r="I326" s="3" t="s">
        <v>873</v>
      </c>
    </row>
    <row r="327" spans="1:9" ht="25" x14ac:dyDescent="0.35">
      <c r="A327" s="3" t="s">
        <v>871</v>
      </c>
      <c r="B327" s="3" t="s">
        <v>385</v>
      </c>
      <c r="C327" s="3" t="s">
        <v>874</v>
      </c>
      <c r="D327" s="3" t="s">
        <v>12</v>
      </c>
      <c r="E327" s="3" t="s">
        <v>63</v>
      </c>
      <c r="F327" s="3" t="s">
        <v>12</v>
      </c>
      <c r="G327" s="3" t="s">
        <v>23</v>
      </c>
      <c r="H327" s="3" t="s">
        <v>87</v>
      </c>
      <c r="I327" s="3" t="s">
        <v>873</v>
      </c>
    </row>
    <row r="328" spans="1:9" ht="25" x14ac:dyDescent="0.35">
      <c r="A328" s="2" t="s">
        <v>875</v>
      </c>
      <c r="B328" s="2" t="s">
        <v>385</v>
      </c>
      <c r="C328" s="2" t="s">
        <v>876</v>
      </c>
      <c r="D328" s="2" t="s">
        <v>38</v>
      </c>
      <c r="E328" s="2" t="s">
        <v>430</v>
      </c>
      <c r="F328" s="2" t="s">
        <v>38</v>
      </c>
      <c r="G328" s="2" t="s">
        <v>23</v>
      </c>
      <c r="H328" s="2" t="s">
        <v>27</v>
      </c>
      <c r="I328" s="2" t="s">
        <v>877</v>
      </c>
    </row>
    <row r="329" spans="1:9" ht="25" x14ac:dyDescent="0.35">
      <c r="A329" s="2" t="s">
        <v>875</v>
      </c>
      <c r="B329" s="2" t="s">
        <v>385</v>
      </c>
      <c r="C329" s="2" t="s">
        <v>878</v>
      </c>
      <c r="D329" s="2" t="s">
        <v>38</v>
      </c>
      <c r="E329" s="2" t="s">
        <v>430</v>
      </c>
      <c r="F329" s="2" t="s">
        <v>38</v>
      </c>
      <c r="G329" s="2" t="s">
        <v>23</v>
      </c>
      <c r="H329" s="2" t="s">
        <v>27</v>
      </c>
      <c r="I329" s="2" t="s">
        <v>877</v>
      </c>
    </row>
    <row r="330" spans="1:9" ht="25" x14ac:dyDescent="0.35">
      <c r="A330" s="3" t="s">
        <v>879</v>
      </c>
      <c r="B330" s="3" t="s">
        <v>385</v>
      </c>
      <c r="C330" s="3" t="s">
        <v>880</v>
      </c>
      <c r="D330" s="3" t="s">
        <v>38</v>
      </c>
      <c r="E330" s="3" t="s">
        <v>881</v>
      </c>
      <c r="F330" s="3" t="s">
        <v>38</v>
      </c>
      <c r="G330" s="3" t="s">
        <v>23</v>
      </c>
      <c r="H330" s="3" t="s">
        <v>27</v>
      </c>
      <c r="I330" s="3" t="s">
        <v>882</v>
      </c>
    </row>
    <row r="331" spans="1:9" ht="25" x14ac:dyDescent="0.35">
      <c r="A331" s="3" t="s">
        <v>879</v>
      </c>
      <c r="B331" s="3" t="s">
        <v>385</v>
      </c>
      <c r="C331" s="3" t="s">
        <v>883</v>
      </c>
      <c r="D331" s="3" t="s">
        <v>38</v>
      </c>
      <c r="E331" s="3" t="s">
        <v>253</v>
      </c>
      <c r="F331" s="3" t="s">
        <v>38</v>
      </c>
      <c r="G331" s="3" t="s">
        <v>23</v>
      </c>
      <c r="H331" s="3" t="s">
        <v>27</v>
      </c>
      <c r="I331" s="3" t="s">
        <v>882</v>
      </c>
    </row>
    <row r="332" spans="1:9" ht="25" x14ac:dyDescent="0.35">
      <c r="A332" s="2" t="s">
        <v>884</v>
      </c>
      <c r="B332" s="2" t="s">
        <v>385</v>
      </c>
      <c r="C332" s="2" t="s">
        <v>885</v>
      </c>
      <c r="D332" s="2" t="s">
        <v>168</v>
      </c>
      <c r="E332" s="2" t="s">
        <v>886</v>
      </c>
      <c r="F332" s="2" t="s">
        <v>170</v>
      </c>
      <c r="G332" s="2" t="s">
        <v>23</v>
      </c>
      <c r="H332" s="2" t="s">
        <v>214</v>
      </c>
      <c r="I332" s="2" t="s">
        <v>887</v>
      </c>
    </row>
    <row r="333" spans="1:9" ht="25" x14ac:dyDescent="0.35">
      <c r="A333" s="2" t="s">
        <v>884</v>
      </c>
      <c r="B333" s="2" t="s">
        <v>385</v>
      </c>
      <c r="C333" s="2" t="s">
        <v>888</v>
      </c>
      <c r="D333" s="2" t="s">
        <v>12</v>
      </c>
      <c r="E333" s="2" t="s">
        <v>831</v>
      </c>
      <c r="F333" s="2" t="s">
        <v>170</v>
      </c>
      <c r="G333" s="2" t="s">
        <v>23</v>
      </c>
      <c r="H333" s="2" t="s">
        <v>214</v>
      </c>
      <c r="I333" s="2" t="s">
        <v>887</v>
      </c>
    </row>
    <row r="334" spans="1:9" ht="25" x14ac:dyDescent="0.35">
      <c r="A334" s="3" t="s">
        <v>889</v>
      </c>
      <c r="B334" s="3" t="s">
        <v>385</v>
      </c>
      <c r="C334" s="3" t="s">
        <v>890</v>
      </c>
      <c r="D334" s="3" t="s">
        <v>12</v>
      </c>
      <c r="E334" s="3" t="s">
        <v>891</v>
      </c>
      <c r="F334" s="3" t="s">
        <v>12</v>
      </c>
      <c r="G334" s="3" t="s">
        <v>23</v>
      </c>
      <c r="H334" s="3" t="s">
        <v>24</v>
      </c>
      <c r="I334" s="3" t="s">
        <v>892</v>
      </c>
    </row>
    <row r="335" spans="1:9" ht="25" x14ac:dyDescent="0.35">
      <c r="A335" s="3" t="s">
        <v>889</v>
      </c>
      <c r="B335" s="3" t="s">
        <v>385</v>
      </c>
      <c r="C335" s="3" t="s">
        <v>893</v>
      </c>
      <c r="D335" s="3" t="s">
        <v>12</v>
      </c>
      <c r="E335" s="3" t="s">
        <v>761</v>
      </c>
      <c r="F335" s="3" t="s">
        <v>12</v>
      </c>
      <c r="G335" s="3" t="s">
        <v>23</v>
      </c>
      <c r="H335" s="3" t="s">
        <v>24</v>
      </c>
      <c r="I335" s="3" t="s">
        <v>892</v>
      </c>
    </row>
    <row r="336" spans="1:9" ht="25" x14ac:dyDescent="0.35">
      <c r="A336" s="2" t="s">
        <v>894</v>
      </c>
      <c r="B336" s="2" t="s">
        <v>385</v>
      </c>
      <c r="C336" s="2" t="s">
        <v>895</v>
      </c>
      <c r="D336" s="2" t="s">
        <v>12</v>
      </c>
      <c r="E336" s="2" t="s">
        <v>68</v>
      </c>
      <c r="F336" s="2" t="s">
        <v>12</v>
      </c>
      <c r="G336" s="2" t="s">
        <v>23</v>
      </c>
      <c r="H336" s="2" t="s">
        <v>69</v>
      </c>
      <c r="I336" s="2" t="s">
        <v>896</v>
      </c>
    </row>
    <row r="337" spans="1:9" ht="25" x14ac:dyDescent="0.35">
      <c r="A337" s="2" t="s">
        <v>894</v>
      </c>
      <c r="B337" s="2" t="s">
        <v>385</v>
      </c>
      <c r="C337" s="2" t="s">
        <v>897</v>
      </c>
      <c r="D337" s="2" t="s">
        <v>12</v>
      </c>
      <c r="E337" s="2" t="s">
        <v>898</v>
      </c>
      <c r="F337" s="2" t="s">
        <v>12</v>
      </c>
      <c r="G337" s="2" t="s">
        <v>23</v>
      </c>
      <c r="H337" s="2" t="s">
        <v>69</v>
      </c>
      <c r="I337" s="2" t="s">
        <v>896</v>
      </c>
    </row>
    <row r="338" spans="1:9" ht="37.5" x14ac:dyDescent="0.35">
      <c r="A338" s="3" t="s">
        <v>899</v>
      </c>
      <c r="B338" s="3" t="s">
        <v>385</v>
      </c>
      <c r="C338" s="7" t="s">
        <v>900</v>
      </c>
      <c r="D338" s="3" t="s">
        <v>59</v>
      </c>
      <c r="E338" s="3" t="s">
        <v>901</v>
      </c>
      <c r="F338" s="3" t="s">
        <v>902</v>
      </c>
      <c r="G338" s="3" t="s">
        <v>15</v>
      </c>
      <c r="H338" s="3" t="s">
        <v>16</v>
      </c>
      <c r="I338" s="3" t="s">
        <v>903</v>
      </c>
    </row>
    <row r="339" spans="1:9" ht="50" x14ac:dyDescent="0.35">
      <c r="A339" s="3" t="s">
        <v>899</v>
      </c>
      <c r="B339" s="3" t="s">
        <v>385</v>
      </c>
      <c r="C339" s="7" t="s">
        <v>904</v>
      </c>
      <c r="D339" s="3" t="s">
        <v>59</v>
      </c>
      <c r="E339" s="3" t="s">
        <v>905</v>
      </c>
      <c r="F339" s="3" t="s">
        <v>902</v>
      </c>
      <c r="G339" s="3" t="s">
        <v>15</v>
      </c>
      <c r="H339" s="3" t="s">
        <v>16</v>
      </c>
      <c r="I339" s="3" t="s">
        <v>903</v>
      </c>
    </row>
    <row r="340" spans="1:9" ht="37.5" x14ac:dyDescent="0.35">
      <c r="A340" s="3" t="s">
        <v>899</v>
      </c>
      <c r="B340" s="3" t="s">
        <v>385</v>
      </c>
      <c r="C340" s="7" t="s">
        <v>906</v>
      </c>
      <c r="D340" s="3" t="s">
        <v>138</v>
      </c>
      <c r="E340" s="3" t="s">
        <v>907</v>
      </c>
      <c r="F340" s="3" t="s">
        <v>902</v>
      </c>
      <c r="G340" s="3" t="s">
        <v>15</v>
      </c>
      <c r="H340" s="3" t="s">
        <v>132</v>
      </c>
      <c r="I340" s="3" t="s">
        <v>903</v>
      </c>
    </row>
    <row r="341" spans="1:9" ht="25" x14ac:dyDescent="0.35">
      <c r="A341" s="2" t="s">
        <v>908</v>
      </c>
      <c r="B341" s="2" t="s">
        <v>385</v>
      </c>
      <c r="C341" s="2" t="s">
        <v>909</v>
      </c>
      <c r="D341" s="2" t="s">
        <v>12</v>
      </c>
      <c r="E341" s="2" t="s">
        <v>701</v>
      </c>
      <c r="F341" s="2" t="s">
        <v>12</v>
      </c>
      <c r="G341" s="2" t="s">
        <v>23</v>
      </c>
      <c r="H341" s="2" t="s">
        <v>24</v>
      </c>
      <c r="I341" s="2" t="s">
        <v>910</v>
      </c>
    </row>
    <row r="342" spans="1:9" ht="25" x14ac:dyDescent="0.35">
      <c r="A342" s="2" t="s">
        <v>908</v>
      </c>
      <c r="B342" s="2" t="s">
        <v>385</v>
      </c>
      <c r="C342" s="2" t="s">
        <v>911</v>
      </c>
      <c r="D342" s="2" t="s">
        <v>12</v>
      </c>
      <c r="E342" s="2" t="s">
        <v>699</v>
      </c>
      <c r="F342" s="2" t="s">
        <v>12</v>
      </c>
      <c r="G342" s="2" t="s">
        <v>23</v>
      </c>
      <c r="H342" s="2" t="s">
        <v>24</v>
      </c>
      <c r="I342" s="2" t="s">
        <v>910</v>
      </c>
    </row>
    <row r="343" spans="1:9" ht="25" x14ac:dyDescent="0.35">
      <c r="A343" s="3" t="s">
        <v>912</v>
      </c>
      <c r="B343" s="3" t="s">
        <v>385</v>
      </c>
      <c r="C343" s="3" t="s">
        <v>913</v>
      </c>
      <c r="D343" s="3" t="s">
        <v>38</v>
      </c>
      <c r="E343" s="3" t="s">
        <v>914</v>
      </c>
      <c r="F343" s="3" t="s">
        <v>38</v>
      </c>
      <c r="G343" s="3" t="s">
        <v>23</v>
      </c>
      <c r="H343" s="3" t="s">
        <v>24</v>
      </c>
      <c r="I343" s="3" t="s">
        <v>915</v>
      </c>
    </row>
    <row r="344" spans="1:9" ht="25" x14ac:dyDescent="0.35">
      <c r="A344" s="3" t="s">
        <v>912</v>
      </c>
      <c r="B344" s="3" t="s">
        <v>385</v>
      </c>
      <c r="C344" s="3" t="s">
        <v>916</v>
      </c>
      <c r="D344" s="3" t="s">
        <v>38</v>
      </c>
      <c r="E344" s="3" t="s">
        <v>917</v>
      </c>
      <c r="F344" s="3" t="s">
        <v>38</v>
      </c>
      <c r="G344" s="3" t="s">
        <v>23</v>
      </c>
      <c r="H344" s="3" t="s">
        <v>24</v>
      </c>
      <c r="I344" s="3" t="s">
        <v>915</v>
      </c>
    </row>
    <row r="345" spans="1:9" ht="25" x14ac:dyDescent="0.35">
      <c r="A345" s="2" t="s">
        <v>918</v>
      </c>
      <c r="B345" s="2" t="s">
        <v>385</v>
      </c>
      <c r="C345" s="9" t="s">
        <v>919</v>
      </c>
      <c r="D345" s="2" t="s">
        <v>12</v>
      </c>
      <c r="E345" s="2" t="s">
        <v>920</v>
      </c>
      <c r="F345" s="2" t="s">
        <v>12</v>
      </c>
      <c r="G345" s="2" t="s">
        <v>23</v>
      </c>
      <c r="H345" s="2" t="s">
        <v>27</v>
      </c>
      <c r="I345" s="11" t="s">
        <v>940</v>
      </c>
    </row>
    <row r="346" spans="1:9" ht="25" x14ac:dyDescent="0.35">
      <c r="A346" s="2" t="s">
        <v>918</v>
      </c>
      <c r="B346" s="2" t="s">
        <v>385</v>
      </c>
      <c r="C346" s="9" t="s">
        <v>921</v>
      </c>
      <c r="D346" s="2" t="s">
        <v>12</v>
      </c>
      <c r="E346" s="2" t="s">
        <v>922</v>
      </c>
      <c r="F346" s="2" t="s">
        <v>12</v>
      </c>
      <c r="G346" s="2" t="s">
        <v>23</v>
      </c>
      <c r="H346" s="2" t="s">
        <v>27</v>
      </c>
      <c r="I346" s="11" t="s">
        <v>940</v>
      </c>
    </row>
  </sheetData>
  <autoFilter ref="A1:I346" xr:uid="{00000000-0001-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zoomScaleNormal="100" workbookViewId="0"/>
  </sheetViews>
  <sheetFormatPr defaultColWidth="8.6328125" defaultRowHeight="14.5" x14ac:dyDescent="0.35"/>
  <cols>
    <col min="1" max="1" width="62" customWidth="1"/>
    <col min="2" max="2" width="12" customWidth="1"/>
  </cols>
  <sheetData>
    <row r="1" spans="1:2" x14ac:dyDescent="0.35">
      <c r="A1" s="4" t="s">
        <v>923</v>
      </c>
      <c r="B1" s="4" t="s">
        <v>924</v>
      </c>
    </row>
    <row r="2" spans="1:2" x14ac:dyDescent="0.35">
      <c r="A2" s="5" t="s">
        <v>925</v>
      </c>
      <c r="B2" s="5">
        <f>SUMPRODUCT(('Similar indicators'!B2:B346="Same metric, different wording")/COUNTIF('Similar indicators'!A2:A346,'Similar indicators'!A2:A346))</f>
        <v>65</v>
      </c>
    </row>
    <row r="3" spans="1:2" x14ac:dyDescent="0.35">
      <c r="A3" s="5" t="s">
        <v>926</v>
      </c>
      <c r="B3" s="5">
        <f>SUMPRODUCT(('Similar indicators'!B2:B346="Near-equivalent")/COUNTIF('Similar indicators'!A2:A346,'Similar indicators'!A2:A346))</f>
        <v>84</v>
      </c>
    </row>
    <row r="4" spans="1:2" x14ac:dyDescent="0.35">
      <c r="A4" s="5" t="s">
        <v>927</v>
      </c>
      <c r="B4" s="5">
        <f>COUNTIF('Similar indicators'!B2:B346,"Same metric, different wording")</f>
        <v>140</v>
      </c>
    </row>
    <row r="5" spans="1:2" x14ac:dyDescent="0.35">
      <c r="A5" s="5" t="s">
        <v>928</v>
      </c>
      <c r="B5" s="5">
        <f>COUNTIF('Similar indicators'!B2:B346,"Near-equivalent")</f>
        <v>205</v>
      </c>
    </row>
    <row r="6" spans="1:2" x14ac:dyDescent="0.35">
      <c r="A6" s="5" t="s">
        <v>929</v>
      </c>
      <c r="B6" s="5">
        <f>SUMPRODUCT(('Similar indicators'!B2:B346="Same metric, different wording")*('Similar indicators'!G2:G346="Yes")/COUNTIF('Similar indicators'!A2:A346,'Similar indicators'!A2:A346))</f>
        <v>20</v>
      </c>
    </row>
    <row r="7" spans="1:2" x14ac:dyDescent="0.35">
      <c r="A7" s="5" t="s">
        <v>930</v>
      </c>
      <c r="B7" s="5">
        <f>SUMPRODUCT(('Similar indicators'!G2:G346="Yes")/COUNTIF('Similar indicators'!A2:A346,'Similar indicators'!A2:A346))</f>
        <v>57.000000000000036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zoomScaleNormal="100" workbookViewId="0"/>
  </sheetViews>
  <sheetFormatPr defaultColWidth="8.6328125" defaultRowHeight="14.5" x14ac:dyDescent="0.35"/>
  <cols>
    <col min="1" max="1" width="120" customWidth="1"/>
  </cols>
  <sheetData>
    <row r="1" spans="1:1" x14ac:dyDescent="0.35">
      <c r="A1" s="6" t="s">
        <v>931</v>
      </c>
    </row>
    <row r="2" spans="1:1" ht="38.5" x14ac:dyDescent="0.35">
      <c r="A2" s="6" t="s">
        <v>932</v>
      </c>
    </row>
    <row r="3" spans="1:1" x14ac:dyDescent="0.35">
      <c r="A3" s="6" t="s">
        <v>933</v>
      </c>
    </row>
    <row r="4" spans="1:1" ht="26" x14ac:dyDescent="0.35">
      <c r="A4" s="6" t="s">
        <v>934</v>
      </c>
    </row>
    <row r="5" spans="1:1" ht="26" x14ac:dyDescent="0.35">
      <c r="A5" s="6" t="s">
        <v>935</v>
      </c>
    </row>
    <row r="6" spans="1:1" ht="26" x14ac:dyDescent="0.35">
      <c r="A6" s="6" t="s">
        <v>936</v>
      </c>
    </row>
    <row r="7" spans="1:1" ht="26" x14ac:dyDescent="0.35">
      <c r="A7" s="6" t="s">
        <v>937</v>
      </c>
    </row>
    <row r="8" spans="1:1" x14ac:dyDescent="0.35">
      <c r="A8" s="6" t="s">
        <v>938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Similar indicators</vt:lpstr>
      <vt:lpstr>Summary</vt:lpstr>
      <vt:lpstr>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Yanina Sica</cp:lastModifiedBy>
  <cp:revision>0</cp:revision>
  <dcterms:created xsi:type="dcterms:W3CDTF">2026-10-13T09:10:05Z</dcterms:created>
  <dcterms:modified xsi:type="dcterms:W3CDTF">2026-10-14T12:06:11Z</dcterms:modified>
  <dc:language>en-US</dc:language>
</cp:coreProperties>
</file>